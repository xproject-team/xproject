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4"/>
    <sheet state="visible" name="2. Parametri Evento" sheetId="2" r:id="rId5"/>
    <sheet state="visible" name="3. Device Count" sheetId="3" r:id="rId6"/>
    <sheet state="visible" name="4. Listini Bar" sheetId="4" r:id="rId7"/>
    <sheet state="visible" name="4.1. Listini Food" sheetId="5" r:id="rId8"/>
    <sheet state="visible" name="5. Lineup" sheetId="6" r:id="rId9"/>
  </sheets>
  <definedNames/>
  <calcPr/>
  <extLst>
    <ext uri="GoogleSheetsCustomDataVersion2">
      <go:sheetsCustomData xmlns:go="http://customooxmlschemas.google.com/" r:id="rId10" roundtripDataChecksum="dVh0sVvt+3SnWoqV4eoG/XbdSuM/Xhv8oZa6mjoFX8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======
ID#AAAB81M9UqA
Laura Martella    (2026-06-04 13:29:38)
RIPORTARE ORDINE QUI SUL DISPOSITIVO OPERATORE</t>
      </text>
    </comment>
  </commentList>
  <extLst>
    <ext uri="GoogleSheetsCustomDataVersion2">
      <go:sheetsCustomData xmlns:go="http://customooxmlschemas.google.com/" r:id="rId1" roundtripDataSignature="AMtx7mjw/TurHw7YUI4RYeq5AnugvhHlgg=="/>
    </ext>
  </extLst>
</comments>
</file>

<file path=xl/sharedStrings.xml><?xml version="1.0" encoding="utf-8"?>
<sst xmlns="http://schemas.openxmlformats.org/spreadsheetml/2006/main" count="339" uniqueCount="156">
  <si>
    <t>Informazioni evento e venue</t>
  </si>
  <si>
    <t>Task Evento</t>
  </si>
  <si>
    <t>Stato</t>
  </si>
  <si>
    <t>Owner</t>
  </si>
  <si>
    <t>Nome Evento</t>
  </si>
  <si>
    <t>Sundance Sunday</t>
  </si>
  <si>
    <t>Parametri Evento</t>
  </si>
  <si>
    <t>Not Started</t>
  </si>
  <si>
    <t>Orari evento</t>
  </si>
  <si>
    <t>12:30 / 22:30</t>
  </si>
  <si>
    <t>Device count</t>
  </si>
  <si>
    <t>Orario di arrivo operatori</t>
  </si>
  <si>
    <t>11:00</t>
  </si>
  <si>
    <t>Menu Prodotti</t>
  </si>
  <si>
    <t>Date Evento</t>
  </si>
  <si>
    <t>14/06-05/07-19/07-02/08</t>
  </si>
  <si>
    <t>Fiscalità/Stripe</t>
  </si>
  <si>
    <t>Venue</t>
  </si>
  <si>
    <t>Villa Alberico</t>
  </si>
  <si>
    <t>Controllo Accessi</t>
  </si>
  <si>
    <t>Indirizzo</t>
  </si>
  <si>
    <t>Via di Fioranello 18, 00178, Roma</t>
  </si>
  <si>
    <t>Lineup</t>
  </si>
  <si>
    <t>Indirizzo ingresso staff e parcheggio</t>
  </si>
  <si>
    <t>Via Appia Antica 400</t>
  </si>
  <si>
    <t>Indirizzo per spedizione materiali Slesh</t>
  </si>
  <si>
    <t>Capienza massima</t>
  </si>
  <si>
    <t>Presenze giornaliere previste</t>
  </si>
  <si>
    <t>Referenti</t>
  </si>
  <si>
    <t>Referente generale</t>
  </si>
  <si>
    <t>Nome Cognome</t>
  </si>
  <si>
    <t>Alessandro Proietti</t>
  </si>
  <si>
    <t>Email</t>
  </si>
  <si>
    <t>alessandro@dinamicastudio.it</t>
  </si>
  <si>
    <t>Cellulare</t>
  </si>
  <si>
    <t>Referente amministrazione per creazione account STRIPE e Fiscalizzazione</t>
  </si>
  <si>
    <t>Alessandro Omodeo</t>
  </si>
  <si>
    <t>alessandro.omodeo@gmail.com</t>
  </si>
  <si>
    <t>Referente comunicazione</t>
  </si>
  <si>
    <t>Altri referenti</t>
  </si>
  <si>
    <t>Segnalare eventuali altri referenti o contatti utili</t>
  </si>
  <si>
    <t>Stripe</t>
  </si>
  <si>
    <t xml:space="preserve">Ragione sociale </t>
  </si>
  <si>
    <t>Sundance srls</t>
  </si>
  <si>
    <t>Email account Stripe</t>
  </si>
  <si>
    <t>Link modulo Stripe</t>
  </si>
  <si>
    <t>Bracciali</t>
  </si>
  <si>
    <t>Quantitativi e tipologie</t>
  </si>
  <si>
    <t>1800 x 4 tipologie diverse (7200 in totale)</t>
  </si>
  <si>
    <t>Indirizzo di consegna</t>
  </si>
  <si>
    <t>Tv Satellite srl
Via Tuscolana 647 Roma, 00174
From Monday to Friday</t>
  </si>
  <si>
    <t>Contatto destinatario</t>
  </si>
  <si>
    <t xml:space="preserve">Marianna Casini
+39 340 217 4814
</t>
  </si>
  <si>
    <t>Fiscalità</t>
  </si>
  <si>
    <t xml:space="preserve">Tagli ricariche </t>
  </si>
  <si>
    <t>App operatore/cassa*</t>
  </si>
  <si>
    <t>*unico taglio</t>
  </si>
  <si>
    <t>App utente**</t>
  </si>
  <si>
    <t>5/10/20/50/100 €</t>
  </si>
  <si>
    <t>**5 tagli</t>
  </si>
  <si>
    <t>Importo personalizzato</t>
  </si>
  <si>
    <t>Importo minimo</t>
  </si>
  <si>
    <t>Policy rimborsi</t>
  </si>
  <si>
    <t>Credito minimo per chiedere il rimborso</t>
  </si>
  <si>
    <t>Costo di gestione del rimborso</t>
  </si>
  <si>
    <r>
      <rPr>
        <rFont val="Times New Roman"/>
        <color theme="1"/>
        <sz val="12.0"/>
      </rPr>
      <t xml:space="preserve">Tempistiche per richiedere il rimborso*
</t>
    </r>
    <r>
      <rPr>
        <rFont val="Times New Roman"/>
        <i/>
        <color theme="1"/>
        <sz val="9.0"/>
      </rPr>
      <t xml:space="preserve">*apertura dopo 24 ore dalla chiusura dell'evento </t>
    </r>
  </si>
  <si>
    <r>
      <rPr>
        <rFont val="Times New Roman"/>
        <b/>
        <color theme="1"/>
        <sz val="12.0"/>
      </rPr>
      <t>Dal</t>
    </r>
    <r>
      <rPr>
        <rFont val="Times New Roman"/>
        <color theme="1"/>
        <sz val="12.0"/>
      </rPr>
      <t xml:space="preserve"> xx</t>
    </r>
    <r>
      <rPr>
        <rFont val="Times New Roman"/>
        <i/>
        <color theme="1"/>
        <sz val="12.0"/>
      </rPr>
      <t>/xx/2026</t>
    </r>
    <r>
      <rPr>
        <rFont val="Times New Roman"/>
        <color theme="1"/>
        <sz val="12.0"/>
      </rPr>
      <t xml:space="preserve"> 
</t>
    </r>
    <r>
      <rPr>
        <rFont val="Times New Roman"/>
        <b/>
        <color theme="1"/>
        <sz val="12.0"/>
      </rPr>
      <t>dalle ore 12:00</t>
    </r>
  </si>
  <si>
    <r>
      <rPr>
        <rFont val="Times New Roman"/>
        <b/>
        <color theme="1"/>
        <sz val="12.0"/>
      </rPr>
      <t>Al</t>
    </r>
    <r>
      <rPr>
        <rFont val="Times New Roman"/>
        <color theme="1"/>
        <sz val="12.0"/>
      </rPr>
      <t xml:space="preserve"> xx/xx/2026 
</t>
    </r>
    <r>
      <rPr>
        <rFont val="Times New Roman"/>
        <b/>
        <color theme="1"/>
        <sz val="12.0"/>
      </rPr>
      <t>alle ore 12:00</t>
    </r>
  </si>
  <si>
    <t>Punti di Ricarica</t>
  </si>
  <si>
    <t>Da compilare - cliente</t>
  </si>
  <si>
    <t>NOMI PUNTI</t>
  </si>
  <si>
    <t># DISPOSITIVI</t>
  </si>
  <si>
    <t>MENU'</t>
  </si>
  <si>
    <t>DISPOSITIVO MODELLO</t>
  </si>
  <si>
    <t>Note</t>
  </si>
  <si>
    <t>Da compilare - con supporto Slesh</t>
  </si>
  <si>
    <t>Cassa</t>
  </si>
  <si>
    <t>Da compilare - Slesh</t>
  </si>
  <si>
    <t>Tot dispositivi:</t>
  </si>
  <si>
    <t>Punti Bar</t>
  </si>
  <si>
    <t>DISPOSITIVO</t>
  </si>
  <si>
    <t>MAIN BAR</t>
  </si>
  <si>
    <t>NO.3 BAR</t>
  </si>
  <si>
    <t>STAGE BAR</t>
  </si>
  <si>
    <t>RESP. BAR</t>
  </si>
  <si>
    <t>Food truck</t>
  </si>
  <si>
    <t>MALANDRINO</t>
  </si>
  <si>
    <t>SCROCCHIA</t>
  </si>
  <si>
    <t>PULLED PORK</t>
  </si>
  <si>
    <t>Altro</t>
  </si>
  <si>
    <t>Accrediti ingresso</t>
  </si>
  <si>
    <t>TOTALE DISPOSITIVI</t>
  </si>
  <si>
    <t>LISTINI PREZZI</t>
  </si>
  <si>
    <t>Creare una tabella per ciascun negozio con il listino prezzi specifico</t>
  </si>
  <si>
    <t>MENù PRODOTTI DIVISO PER NEGOZI</t>
  </si>
  <si>
    <t>Nome</t>
  </si>
  <si>
    <t>Negozio</t>
  </si>
  <si>
    <t>Categoria</t>
  </si>
  <si>
    <t>Prezzo</t>
  </si>
  <si>
    <t>Iva</t>
  </si>
  <si>
    <t>Hamburger</t>
  </si>
  <si>
    <t>Malandrino</t>
  </si>
  <si>
    <t>Panineria</t>
  </si>
  <si>
    <t>Cheeseburger</t>
  </si>
  <si>
    <t>Veggie Burger</t>
  </si>
  <si>
    <t>Patatina S</t>
  </si>
  <si>
    <t>Patatina L</t>
  </si>
  <si>
    <t>CLASSICA</t>
  </si>
  <si>
    <t>Scrocchia</t>
  </si>
  <si>
    <t>SAPORITA</t>
  </si>
  <si>
    <t>Pulled</t>
  </si>
  <si>
    <t>Pulled pork</t>
  </si>
  <si>
    <t>Veggie</t>
  </si>
  <si>
    <t>Fritto</t>
  </si>
  <si>
    <t>Birra Heineken</t>
  </si>
  <si>
    <t>Cocktail Bar</t>
  </si>
  <si>
    <t>Bar</t>
  </si>
  <si>
    <t>Birra Ichnusa</t>
  </si>
  <si>
    <t>Drink</t>
  </si>
  <si>
    <t>SPRITZ</t>
  </si>
  <si>
    <t>SIGNATURE</t>
  </si>
  <si>
    <t>PREMIUM</t>
  </si>
  <si>
    <t xml:space="preserve">VINO </t>
  </si>
  <si>
    <t>SOFT DRINK</t>
  </si>
  <si>
    <t>ANALCOLICI</t>
  </si>
  <si>
    <t xml:space="preserve">ACQUA </t>
  </si>
  <si>
    <t>Bar + Cassa</t>
  </si>
  <si>
    <t xml:space="preserve">BOTTIGLIA VINO </t>
  </si>
  <si>
    <t>cauzione bicchiere 1€</t>
  </si>
  <si>
    <t>MENù PRODOTTI COCKTAIL BAR</t>
  </si>
  <si>
    <t>Cauzione</t>
  </si>
  <si>
    <t>Cauzione Bicchiere</t>
  </si>
  <si>
    <t>GIN TONIC</t>
  </si>
  <si>
    <t>DRINK</t>
  </si>
  <si>
    <t>HEINEKEN</t>
  </si>
  <si>
    <t>ICHNUSA NON FILT.</t>
  </si>
  <si>
    <t>PROSECCO</t>
  </si>
  <si>
    <t>BOTTIGLIA PROSECCO</t>
  </si>
  <si>
    <t>BOTTIGLIA METODO CLASSICO</t>
  </si>
  <si>
    <t>DRINK ANALCOLICI</t>
  </si>
  <si>
    <t>MENù PRODOTTI MALANDRINO</t>
  </si>
  <si>
    <t>MENù PRODOTTI SCROCCHIA</t>
  </si>
  <si>
    <t>MENù PRODOTTI PULLED PORK</t>
  </si>
  <si>
    <t>MENù PRODOTTI CASSA + GUARDAROBA + MERCH + GELATO e ACQUA</t>
  </si>
  <si>
    <t>Merchandising</t>
  </si>
  <si>
    <t>Guardaroba</t>
  </si>
  <si>
    <t>LISTINO PREZZI - MALANDRINO</t>
  </si>
  <si>
    <t>LISTINO PREZZI - SCROCCHIA</t>
  </si>
  <si>
    <t>Nome prodotto</t>
  </si>
  <si>
    <t>LISTINO PREZZI - PULLED PORK</t>
  </si>
  <si>
    <t>Lineup evento</t>
  </si>
  <si>
    <t>MAIN STAGE</t>
  </si>
  <si>
    <t>Data e slot orari</t>
  </si>
  <si>
    <t>Artista</t>
  </si>
  <si>
    <t>SECONDO STAGE</t>
  </si>
  <si>
    <t>TERZO 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</si>
</sst>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#,##0&quot;€&quot;"/>
    <numFmt numFmtId="166" formatCode="[$€-2]\ #,##0.00"/>
    <numFmt numFmtId="167" formatCode="dd/MM/yyyy"/>
  </numFmts>
  <fonts count="24">
    <font>
      <sz val="10.0"/>
      <color rgb="FF000000"/>
      <name val="Arial"/>
      <scheme val="minor"/>
    </font>
    <font>
      <sz val="15.0"/>
      <color theme="1"/>
      <name val="Nunito"/>
    </font>
    <font>
      <b/>
      <sz val="15.0"/>
      <color rgb="FFFFFFFF"/>
      <name val="Times New Roman"/>
    </font>
    <font>
      <b/>
      <sz val="15.0"/>
      <color theme="1"/>
      <name val="Times New Roman"/>
    </font>
    <font>
      <sz val="12.0"/>
      <color theme="1"/>
      <name val="Nunito"/>
    </font>
    <font/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1.0"/>
      <color theme="1"/>
      <name val="Times New Roman"/>
    </font>
    <font>
      <sz val="9.0"/>
      <color theme="1"/>
      <name val="Nunito"/>
    </font>
    <font>
      <sz val="11.0"/>
      <color theme="1"/>
      <name val="Nunito"/>
    </font>
    <font>
      <color rgb="FF1F1F1F"/>
      <name val="Arial"/>
    </font>
    <font>
      <color theme="1"/>
      <name val="Times New Roman"/>
    </font>
    <font>
      <b/>
      <sz val="14.0"/>
      <color theme="1"/>
      <name val="Times New Roman"/>
    </font>
    <font>
      <sz val="8.0"/>
      <color theme="1"/>
      <name val="Times New Roman"/>
    </font>
    <font>
      <b/>
      <color theme="1"/>
      <name val="Arial"/>
    </font>
    <font>
      <b/>
      <sz val="12.0"/>
      <color rgb="FFFFFFFF"/>
      <name val="Times New Roman"/>
    </font>
    <font>
      <b/>
      <color rgb="FFFFFFFF"/>
      <name val="Times New Roman"/>
    </font>
    <font>
      <b/>
      <sz val="14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i/>
      <color theme="1"/>
      <name val="Arial"/>
    </font>
    <font>
      <b/>
      <sz val="15.0"/>
      <color rgb="FFFFFFFF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shrinkToFit="0" vertical="bottom" wrapText="1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readingOrder="0" shrinkToFit="0" vertical="bottom" wrapText="1"/>
    </xf>
    <xf borderId="1" fillId="2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3" fontId="3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5" numFmtId="0" xfId="0" applyBorder="1" applyFont="1"/>
    <xf borderId="4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1" fillId="3" fontId="3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0" fillId="0" fontId="8" numFmtId="0" xfId="0" applyFont="1"/>
    <xf borderId="1" fillId="0" fontId="8" numFmtId="0" xfId="0" applyAlignment="1" applyBorder="1" applyFont="1">
      <alignment readingOrder="0"/>
    </xf>
    <xf borderId="1" fillId="2" fontId="12" numFmtId="0" xfId="0" applyAlignment="1" applyBorder="1" applyFont="1">
      <alignment horizontal="left" readingOrder="0"/>
    </xf>
    <xf borderId="0" fillId="0" fontId="13" numFmtId="0" xfId="0" applyFont="1"/>
    <xf borderId="0" fillId="0" fontId="4" numFmtId="0" xfId="0" applyAlignment="1" applyFont="1">
      <alignment horizontal="left" shrinkToFit="0" vertical="center" wrapText="1"/>
    </xf>
    <xf borderId="1" fillId="4" fontId="14" numFmtId="0" xfId="0" applyAlignment="1" applyBorder="1" applyFill="1" applyFont="1">
      <alignment shrinkToFit="0" wrapText="1"/>
    </xf>
    <xf borderId="5" fillId="0" fontId="7" numFmtId="0" xfId="0" applyAlignment="1" applyBorder="1" applyFont="1">
      <alignment shrinkToFit="0" vertical="bottom" wrapText="1"/>
    </xf>
    <xf borderId="0" fillId="3" fontId="9" numFmtId="165" xfId="0" applyAlignment="1" applyFont="1" applyNumberFormat="1">
      <alignment shrinkToFit="0" wrapText="1"/>
    </xf>
    <xf borderId="5" fillId="0" fontId="15" numFmtId="0" xfId="0" applyAlignment="1" applyBorder="1" applyFont="1">
      <alignment shrinkToFit="0" wrapText="1"/>
    </xf>
    <xf borderId="0" fillId="3" fontId="9" numFmtId="0" xfId="0" applyAlignment="1" applyFont="1">
      <alignment horizontal="right" shrinkToFit="0" wrapText="1"/>
    </xf>
    <xf borderId="7" fillId="0" fontId="15" numFmtId="0" xfId="0" applyAlignment="1" applyBorder="1" applyFont="1">
      <alignment shrinkToFit="0" wrapText="1"/>
    </xf>
    <xf borderId="8" fillId="0" fontId="5" numFmtId="0" xfId="0" applyBorder="1" applyFont="1"/>
    <xf borderId="9" fillId="0" fontId="5" numFmtId="0" xfId="0" applyBorder="1" applyFont="1"/>
    <xf borderId="10" fillId="0" fontId="7" numFmtId="0" xfId="0" applyAlignment="1" applyBorder="1" applyFont="1">
      <alignment shrinkToFit="0" vertical="bottom" wrapText="1"/>
    </xf>
    <xf borderId="11" fillId="3" fontId="13" numFmtId="0" xfId="0" applyBorder="1" applyFont="1"/>
    <xf borderId="12" fillId="3" fontId="13" numFmtId="0" xfId="0" applyBorder="1" applyFont="1"/>
    <xf borderId="7" fillId="0" fontId="7" numFmtId="0" xfId="0" applyAlignment="1" applyBorder="1" applyFont="1">
      <alignment shrinkToFit="0" vertical="bottom" wrapText="1"/>
    </xf>
    <xf borderId="8" fillId="3" fontId="13" numFmtId="0" xfId="0" applyBorder="1" applyFont="1"/>
    <xf borderId="9" fillId="3" fontId="13" numFmtId="0" xfId="0" applyBorder="1" applyFont="1"/>
    <xf borderId="10" fillId="4" fontId="14" numFmtId="0" xfId="0" applyAlignment="1" applyBorder="1" applyFont="1">
      <alignment shrinkToFit="0" wrapText="1"/>
    </xf>
    <xf borderId="11" fillId="0" fontId="5" numFmtId="0" xfId="0" applyBorder="1" applyFont="1"/>
    <xf borderId="12" fillId="0" fontId="5" numFmtId="0" xfId="0" applyBorder="1" applyFont="1"/>
    <xf borderId="10" fillId="0" fontId="7" numFmtId="0" xfId="0" applyAlignment="1" applyBorder="1" applyFont="1">
      <alignment shrinkToFit="0" wrapText="1"/>
    </xf>
    <xf borderId="11" fillId="5" fontId="13" numFmtId="166" xfId="0" applyAlignment="1" applyBorder="1" applyFill="1" applyFont="1" applyNumberFormat="1">
      <alignment shrinkToFit="0" vertical="bottom" wrapText="1"/>
    </xf>
    <xf borderId="5" fillId="0" fontId="7" numFmtId="0" xfId="0" applyAlignment="1" applyBorder="1" applyFont="1">
      <alignment shrinkToFit="0" wrapText="1"/>
    </xf>
    <xf borderId="0" fillId="5" fontId="13" numFmtId="166" xfId="0" applyAlignment="1" applyFont="1" applyNumberFormat="1">
      <alignment shrinkToFit="0" wrapText="1"/>
    </xf>
    <xf borderId="0" fillId="0" fontId="8" numFmtId="0" xfId="0" applyAlignment="1" applyFont="1">
      <alignment vertical="bottom"/>
    </xf>
    <xf borderId="7" fillId="0" fontId="7" numFmtId="0" xfId="0" applyAlignment="1" applyBorder="1" applyFont="1">
      <alignment shrinkToFit="0" wrapText="1"/>
    </xf>
    <xf borderId="8" fillId="5" fontId="7" numFmtId="0" xfId="0" applyAlignment="1" applyBorder="1" applyFont="1">
      <alignment shrinkToFit="0" wrapText="1"/>
    </xf>
    <xf borderId="9" fillId="5" fontId="7" numFmtId="0" xfId="0" applyAlignment="1" applyBorder="1" applyFont="1">
      <alignment horizontal="right" shrinkToFit="0" wrapText="1"/>
    </xf>
    <xf borderId="4" fillId="3" fontId="8" numFmtId="0" xfId="0" applyBorder="1" applyFont="1"/>
    <xf borderId="0" fillId="5" fontId="8" numFmtId="0" xfId="0" applyFont="1"/>
    <xf borderId="0" fillId="0" fontId="4" numFmtId="0" xfId="0" applyAlignment="1" applyFont="1">
      <alignment shrinkToFit="0" wrapText="1"/>
    </xf>
    <xf borderId="4" fillId="5" fontId="6" numFmtId="0" xfId="0" applyAlignment="1" applyBorder="1" applyFont="1">
      <alignment shrinkToFit="0" wrapText="1"/>
    </xf>
    <xf borderId="4" fillId="5" fontId="6" numFmtId="0" xfId="0" applyAlignment="1" applyBorder="1" applyFont="1">
      <alignment horizontal="left" shrinkToFit="0" wrapText="1"/>
    </xf>
    <xf borderId="4" fillId="6" fontId="6" numFmtId="0" xfId="0" applyAlignment="1" applyBorder="1" applyFill="1" applyFont="1">
      <alignment shrinkToFit="0" wrapText="1"/>
    </xf>
    <xf borderId="4" fillId="2" fontId="6" numFmtId="0" xfId="0" applyAlignment="1" applyBorder="1" applyFont="1">
      <alignment shrinkToFit="0" wrapText="1"/>
    </xf>
    <xf borderId="0" fillId="3" fontId="8" numFmtId="0" xfId="0" applyAlignment="1" applyFont="1">
      <alignment vertical="bottom"/>
    </xf>
    <xf borderId="4" fillId="5" fontId="16" numFmtId="0" xfId="0" applyAlignment="1" applyBorder="1" applyFont="1">
      <alignment readingOrder="0"/>
    </xf>
    <xf borderId="4" fillId="5" fontId="8" numFmtId="0" xfId="0" applyAlignment="1" applyBorder="1" applyFont="1">
      <alignment horizontal="left" readingOrder="0"/>
    </xf>
    <xf borderId="4" fillId="6" fontId="8" numFmtId="0" xfId="0" applyBorder="1" applyFont="1"/>
    <xf borderId="4" fillId="2" fontId="8" numFmtId="0" xfId="0" applyBorder="1" applyFont="1"/>
    <xf borderId="0" fillId="6" fontId="8" numFmtId="0" xfId="0" applyFont="1"/>
    <xf borderId="4" fillId="7" fontId="17" numFmtId="0" xfId="0" applyAlignment="1" applyBorder="1" applyFill="1" applyFont="1">
      <alignment shrinkToFit="0" vertical="bottom" wrapText="1"/>
    </xf>
    <xf borderId="1" fillId="7" fontId="18" numFmtId="0" xfId="0" applyAlignment="1" applyBorder="1" applyFont="1">
      <alignment horizontal="left" shrinkToFit="0" vertical="bottom" wrapText="1"/>
    </xf>
    <xf borderId="0" fillId="0" fontId="8" numFmtId="0" xfId="0" applyAlignment="1" applyFont="1">
      <alignment horizontal="left" vertical="bottom"/>
    </xf>
    <xf borderId="1" fillId="4" fontId="14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horizontal="left" shrinkToFit="0" vertical="center" wrapText="1"/>
    </xf>
    <xf borderId="2" fillId="4" fontId="8" numFmtId="0" xfId="0" applyAlignment="1" applyBorder="1" applyFont="1">
      <alignment vertical="center"/>
    </xf>
    <xf borderId="3" fillId="4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0" fillId="3" fontId="19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5" fillId="0" fontId="5" numFmtId="0" xfId="0" applyBorder="1" applyFont="1"/>
    <xf borderId="0" fillId="0" fontId="20" numFmtId="0" xfId="0" applyAlignment="1" applyFont="1">
      <alignment vertical="bottom"/>
    </xf>
    <xf borderId="7" fillId="0" fontId="8" numFmtId="0" xfId="0" applyBorder="1" applyFont="1"/>
    <xf borderId="10" fillId="0" fontId="16" numFmtId="0" xfId="0" applyAlignment="1" applyBorder="1" applyFont="1">
      <alignment horizontal="center" shrinkToFit="0" wrapText="1"/>
    </xf>
    <xf borderId="4" fillId="3" fontId="16" numFmtId="0" xfId="0" applyAlignment="1" applyBorder="1" applyFont="1">
      <alignment shrinkToFit="0" vertical="bottom" wrapText="1"/>
    </xf>
    <xf borderId="4" fillId="8" fontId="8" numFmtId="0" xfId="0" applyAlignment="1" applyBorder="1" applyFill="1" applyFont="1">
      <alignment vertical="bottom"/>
    </xf>
    <xf borderId="4" fillId="8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8" numFmtId="166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horizontal="right" vertical="bottom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right" readingOrder="0" vertical="bottom"/>
    </xf>
    <xf borderId="4" fillId="8" fontId="8" numFmtId="0" xfId="0" applyAlignment="1" applyBorder="1" applyFont="1">
      <alignment horizontal="right" vertical="bottom"/>
    </xf>
    <xf borderId="4" fillId="8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1" fillId="0" fontId="16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vertical="bottom"/>
    </xf>
    <xf borderId="0" fillId="0" fontId="21" numFmtId="0" xfId="0" applyAlignment="1" applyFont="1">
      <alignment readingOrder="0"/>
    </xf>
    <xf borderId="4" fillId="2" fontId="8" numFmtId="0" xfId="0" applyAlignment="1" applyBorder="1" applyFont="1">
      <alignment readingOrder="0" vertical="bottom"/>
    </xf>
    <xf borderId="1" fillId="0" fontId="16" numFmtId="0" xfId="0" applyAlignment="1" applyBorder="1" applyFont="1">
      <alignment horizontal="center" readingOrder="0" shrinkToFit="0" wrapText="1"/>
    </xf>
    <xf borderId="8" fillId="2" fontId="8" numFmtId="0" xfId="0" applyBorder="1" applyFont="1"/>
    <xf borderId="1" fillId="5" fontId="16" numFmtId="0" xfId="0" applyAlignment="1" applyBorder="1" applyFont="1">
      <alignment horizontal="center" readingOrder="0" shrinkToFit="0" wrapText="1"/>
    </xf>
    <xf borderId="4" fillId="5" fontId="16" numFmtId="0" xfId="0" applyAlignment="1" applyBorder="1" applyFont="1">
      <alignment shrinkToFit="0" vertical="bottom" wrapText="1"/>
    </xf>
    <xf borderId="4" fillId="5" fontId="22" numFmtId="0" xfId="0" applyAlignment="1" applyBorder="1" applyFont="1">
      <alignment readingOrder="0" vertical="bottom"/>
    </xf>
    <xf borderId="4" fillId="5" fontId="22" numFmtId="166" xfId="0" applyAlignment="1" applyBorder="1" applyFont="1" applyNumberFormat="1">
      <alignment horizontal="right" readingOrder="0" vertical="bottom"/>
    </xf>
    <xf borderId="4" fillId="5" fontId="22" numFmtId="9" xfId="0" applyAlignment="1" applyBorder="1" applyFont="1" applyNumberFormat="1">
      <alignment horizontal="right" vertical="bottom"/>
    </xf>
    <xf borderId="4" fillId="5" fontId="8" numFmtId="0" xfId="0" applyAlignment="1" applyBorder="1" applyFont="1">
      <alignment readingOrder="0" vertical="bottom"/>
    </xf>
    <xf borderId="4" fillId="5" fontId="8" numFmtId="166" xfId="0" applyAlignment="1" applyBorder="1" applyFont="1" applyNumberFormat="1">
      <alignment horizontal="right" readingOrder="0" vertical="bottom"/>
    </xf>
    <xf borderId="4" fillId="5" fontId="8" numFmtId="0" xfId="0" applyAlignment="1" applyBorder="1" applyFont="1">
      <alignment vertical="bottom"/>
    </xf>
    <xf borderId="4" fillId="5" fontId="8" numFmtId="166" xfId="0" applyAlignment="1" applyBorder="1" applyFont="1" applyNumberFormat="1">
      <alignment horizontal="right" vertical="bottom"/>
    </xf>
    <xf borderId="4" fillId="5" fontId="8" numFmtId="9" xfId="0" applyAlignment="1" applyBorder="1" applyFont="1" applyNumberFormat="1">
      <alignment horizontal="right" vertical="bottom"/>
    </xf>
    <xf borderId="4" fillId="5" fontId="8" numFmtId="166" xfId="0" applyAlignment="1" applyBorder="1" applyFont="1" applyNumberFormat="1">
      <alignment readingOrder="0" vertical="bottom"/>
    </xf>
    <xf borderId="4" fillId="5" fontId="8" numFmtId="166" xfId="0" applyAlignment="1" applyBorder="1" applyFont="1" applyNumberFormat="1">
      <alignment vertical="bottom"/>
    </xf>
    <xf borderId="10" fillId="3" fontId="16" numFmtId="0" xfId="0" applyAlignment="1" applyBorder="1" applyFont="1">
      <alignment horizontal="center" shrinkToFit="0" vertical="bottom" wrapText="1"/>
    </xf>
    <xf borderId="5" fillId="3" fontId="23" numFmtId="0" xfId="0" applyAlignment="1" applyBorder="1" applyFont="1">
      <alignment horizontal="center" shrinkToFit="0" vertical="center" wrapText="1"/>
    </xf>
    <xf borderId="7" fillId="3" fontId="16" numFmtId="0" xfId="0" applyAlignment="1" applyBorder="1" applyFont="1">
      <alignment horizontal="center" shrinkToFit="0" vertical="bottom" wrapText="1"/>
    </xf>
    <xf borderId="1" fillId="0" fontId="16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horizontal="center" shrinkToFit="0" vertical="bottom" wrapText="1"/>
    </xf>
    <xf borderId="1" fillId="3" fontId="16" numFmtId="0" xfId="0" applyAlignment="1" applyBorder="1" applyFont="1">
      <alignment horizontal="center" shrinkToFit="0" vertical="bottom" wrapText="1"/>
    </xf>
    <xf borderId="4" fillId="3" fontId="16" numFmtId="0" xfId="0" applyAlignment="1" applyBorder="1" applyFont="1">
      <alignment shrinkToFit="0" vertical="bottom" wrapText="1"/>
    </xf>
    <xf borderId="4" fillId="0" fontId="8" numFmtId="167" xfId="0" applyAlignment="1" applyBorder="1" applyFont="1" applyNumberFormat="1">
      <alignment horizontal="left" vertical="bottom"/>
    </xf>
    <xf borderId="4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764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1334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38"/>
    <col customWidth="1" min="2" max="2" width="37.75"/>
    <col customWidth="1" min="3" max="3" width="27.88"/>
    <col customWidth="1" min="4" max="4" width="30.63"/>
    <col customWidth="1" min="6" max="6" width="16.75"/>
    <col customWidth="1" min="7" max="7" width="17.5"/>
    <col customWidth="1" min="8" max="8" width="32.38"/>
  </cols>
  <sheetData>
    <row r="1" ht="1.5" customHeight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3.25" customHeight="1">
      <c r="A2" s="1"/>
      <c r="B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1.75" customHeight="1">
      <c r="A3" s="1"/>
      <c r="B3" s="3"/>
      <c r="C3" s="3"/>
      <c r="D3" s="3"/>
      <c r="E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1.75" customHeight="1">
      <c r="A4" s="4"/>
      <c r="B4" s="5" t="s">
        <v>0</v>
      </c>
      <c r="C4" s="6"/>
      <c r="D4" s="7"/>
      <c r="E4" s="4"/>
      <c r="F4" s="8" t="s">
        <v>1</v>
      </c>
      <c r="G4" s="8" t="s">
        <v>2</v>
      </c>
      <c r="H4" s="8" t="s">
        <v>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1.75" customHeight="1">
      <c r="A5" s="4"/>
      <c r="B5" s="9" t="s">
        <v>4</v>
      </c>
      <c r="C5" s="10" t="s">
        <v>5</v>
      </c>
      <c r="D5" s="7"/>
      <c r="E5" s="4"/>
      <c r="F5" s="11" t="s">
        <v>6</v>
      </c>
      <c r="G5" s="12" t="s">
        <v>7</v>
      </c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1.75" customHeight="1">
      <c r="A6" s="4"/>
      <c r="B6" s="9" t="s">
        <v>8</v>
      </c>
      <c r="C6" s="10" t="s">
        <v>9</v>
      </c>
      <c r="D6" s="7"/>
      <c r="E6" s="4"/>
      <c r="F6" s="11" t="s">
        <v>10</v>
      </c>
      <c r="G6" s="12" t="s">
        <v>7</v>
      </c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1.75" customHeight="1">
      <c r="A7" s="4"/>
      <c r="B7" s="9" t="s">
        <v>11</v>
      </c>
      <c r="C7" s="10" t="s">
        <v>12</v>
      </c>
      <c r="D7" s="7"/>
      <c r="E7" s="4"/>
      <c r="F7" s="11" t="s">
        <v>13</v>
      </c>
      <c r="G7" s="12" t="s">
        <v>7</v>
      </c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1.75" customHeight="1">
      <c r="A8" s="4"/>
      <c r="B8" s="14" t="s">
        <v>14</v>
      </c>
      <c r="C8" s="10" t="s">
        <v>15</v>
      </c>
      <c r="D8" s="7"/>
      <c r="E8" s="4"/>
      <c r="F8" s="11" t="s">
        <v>16</v>
      </c>
      <c r="G8" s="12" t="s">
        <v>7</v>
      </c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1.75" customHeight="1">
      <c r="A9" s="4"/>
      <c r="B9" s="9" t="s">
        <v>17</v>
      </c>
      <c r="C9" s="15" t="s">
        <v>18</v>
      </c>
      <c r="D9" s="7"/>
      <c r="E9" s="4"/>
      <c r="F9" s="11" t="s">
        <v>19</v>
      </c>
      <c r="G9" s="12" t="s">
        <v>7</v>
      </c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1.75" customHeight="1">
      <c r="A10" s="4"/>
      <c r="B10" s="9" t="s">
        <v>20</v>
      </c>
      <c r="C10" s="10" t="s">
        <v>21</v>
      </c>
      <c r="D10" s="7"/>
      <c r="E10" s="4"/>
      <c r="F10" s="11" t="s">
        <v>22</v>
      </c>
      <c r="G10" s="12" t="s">
        <v>7</v>
      </c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"/>
      <c r="B11" s="9" t="s">
        <v>23</v>
      </c>
      <c r="C11" s="10" t="s">
        <v>24</v>
      </c>
      <c r="D11" s="7"/>
      <c r="E11" s="4"/>
      <c r="F11" s="11"/>
      <c r="G11" s="12" t="s">
        <v>7</v>
      </c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1.75" customHeight="1">
      <c r="A12" s="4"/>
      <c r="B12" s="9" t="s">
        <v>25</v>
      </c>
      <c r="C12" s="16"/>
      <c r="D12" s="7"/>
      <c r="E12" s="4"/>
      <c r="F12" s="11"/>
      <c r="G12" s="12" t="s">
        <v>7</v>
      </c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1.75" customHeight="1">
      <c r="A13" s="4"/>
      <c r="B13" s="9" t="s">
        <v>26</v>
      </c>
      <c r="C13" s="10">
        <v>1600.0</v>
      </c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1.75" customHeight="1">
      <c r="A14" s="4"/>
      <c r="B14" s="9" t="s">
        <v>27</v>
      </c>
      <c r="C14" s="10">
        <v>1600.0</v>
      </c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1.75" customHeight="1">
      <c r="A15" s="4"/>
      <c r="B15" s="3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1.75" customHeight="1">
      <c r="A16" s="4"/>
      <c r="B16" s="17" t="s">
        <v>28</v>
      </c>
      <c r="C16" s="6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1.75" customHeight="1">
      <c r="A17" s="4"/>
      <c r="B17" s="18" t="s">
        <v>29</v>
      </c>
      <c r="D17" s="1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1.75" customHeight="1">
      <c r="A18" s="4"/>
      <c r="B18" s="20" t="s">
        <v>30</v>
      </c>
      <c r="C18" s="20" t="s">
        <v>31</v>
      </c>
      <c r="D18" s="2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1.75" customHeight="1">
      <c r="A19" s="4"/>
      <c r="B19" s="20" t="s">
        <v>32</v>
      </c>
      <c r="C19" s="20" t="s">
        <v>33</v>
      </c>
      <c r="D19" s="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1.75" customHeight="1">
      <c r="A20" s="4"/>
      <c r="B20" s="20" t="s">
        <v>34</v>
      </c>
      <c r="C20" s="20">
        <v>3.383655014E9</v>
      </c>
      <c r="D20" s="20"/>
      <c r="E20" s="4"/>
      <c r="F20" s="4"/>
      <c r="G20" s="4"/>
      <c r="H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1.75" customHeight="1">
      <c r="A21" s="21"/>
      <c r="B21" s="18" t="s">
        <v>35</v>
      </c>
      <c r="D21" s="19"/>
      <c r="E21" s="2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1.75" customHeight="1">
      <c r="A22" s="21"/>
      <c r="B22" s="20" t="s">
        <v>30</v>
      </c>
      <c r="C22" s="20" t="s">
        <v>36</v>
      </c>
      <c r="D22" s="20"/>
      <c r="E22" s="2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1.75" customHeight="1">
      <c r="A23" s="21"/>
      <c r="B23" s="20" t="s">
        <v>32</v>
      </c>
      <c r="C23" s="20" t="s">
        <v>37</v>
      </c>
      <c r="D23" s="2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1.75" customHeight="1">
      <c r="A24" s="21"/>
      <c r="B24" s="20" t="s">
        <v>34</v>
      </c>
      <c r="C24" s="20"/>
      <c r="D24" s="2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1.75" customHeight="1">
      <c r="A25" s="21"/>
      <c r="B25" s="18" t="s">
        <v>38</v>
      </c>
      <c r="D25" s="1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1.75" customHeight="1">
      <c r="A26" s="21"/>
      <c r="B26" s="20" t="s">
        <v>30</v>
      </c>
      <c r="C26" s="20" t="s">
        <v>31</v>
      </c>
      <c r="D26" s="2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1.75" customHeight="1">
      <c r="A27" s="21"/>
      <c r="B27" s="20" t="s">
        <v>32</v>
      </c>
      <c r="C27" s="20" t="s">
        <v>33</v>
      </c>
      <c r="D27" s="2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1.75" customHeight="1">
      <c r="A28" s="21"/>
      <c r="B28" s="20" t="s">
        <v>34</v>
      </c>
      <c r="C28" s="20">
        <v>3.383655014E9</v>
      </c>
      <c r="D28" s="2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1.75" customHeight="1">
      <c r="A29" s="21"/>
      <c r="B29" s="18" t="s">
        <v>39</v>
      </c>
      <c r="C29" s="23"/>
      <c r="D29" s="2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31.5" customHeight="1">
      <c r="A30" s="21"/>
      <c r="B30" s="20" t="s">
        <v>40</v>
      </c>
      <c r="C30" s="25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1.75" customHeight="1">
      <c r="A31" s="21"/>
      <c r="B31" s="26"/>
      <c r="C31" s="23"/>
      <c r="D31" s="2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1.75" customHeight="1">
      <c r="A32" s="21"/>
      <c r="B32" s="27" t="s">
        <v>41</v>
      </c>
      <c r="C32" s="6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1.75" customHeight="1">
      <c r="A33" s="21"/>
      <c r="B33" s="28" t="s">
        <v>42</v>
      </c>
      <c r="C33" s="29" t="s">
        <v>43</v>
      </c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1.75" customHeight="1">
      <c r="A34" s="21"/>
      <c r="B34" s="28" t="s">
        <v>44</v>
      </c>
      <c r="C34" s="30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1.75" customHeight="1">
      <c r="A35" s="4"/>
      <c r="B35" s="28" t="s">
        <v>45</v>
      </c>
      <c r="C35" s="30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1.75" customHeight="1">
      <c r="A36" s="21"/>
      <c r="B36" s="31"/>
      <c r="C36" s="31"/>
      <c r="D36" s="3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1.75" customHeight="1">
      <c r="B37" s="27" t="s">
        <v>46</v>
      </c>
      <c r="C37" s="6"/>
      <c r="D37" s="7"/>
      <c r="F37" s="4"/>
      <c r="G37" s="4"/>
      <c r="H37" s="4"/>
      <c r="I37" s="4"/>
      <c r="J37" s="4"/>
      <c r="K37" s="4"/>
      <c r="L37" s="4"/>
      <c r="M37" s="4"/>
    </row>
    <row r="38" ht="21.75" customHeight="1">
      <c r="A38" s="4"/>
      <c r="B38" s="28" t="s">
        <v>47</v>
      </c>
      <c r="C38" s="32" t="s">
        <v>48</v>
      </c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1.75" customHeight="1">
      <c r="A39" s="4"/>
      <c r="B39" s="28" t="s">
        <v>49</v>
      </c>
      <c r="C39" s="32" t="s">
        <v>50</v>
      </c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1.75" customHeight="1">
      <c r="A40" s="4"/>
      <c r="B40" s="28" t="s">
        <v>51</v>
      </c>
      <c r="C40" s="33" t="s">
        <v>52</v>
      </c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1.75" customHeight="1">
      <c r="A41" s="4"/>
      <c r="B41" s="34"/>
      <c r="C41" s="34"/>
      <c r="D41" s="3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1.75" customHeight="1">
      <c r="A42" s="4"/>
      <c r="B42" s="27" t="s">
        <v>53</v>
      </c>
      <c r="C42" s="6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1.75" customHeight="1">
      <c r="A43" s="4"/>
      <c r="B43" s="28"/>
      <c r="C43" s="28"/>
      <c r="D43" s="2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1.75" customHeight="1">
      <c r="A44" s="4"/>
      <c r="B44" s="28"/>
      <c r="C44" s="28"/>
      <c r="D44" s="2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1.75" customHeight="1">
      <c r="A45" s="4"/>
      <c r="B45" s="28"/>
      <c r="C45" s="28"/>
      <c r="D45" s="2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1.75" customHeight="1">
      <c r="A46" s="4"/>
      <c r="B46" s="4"/>
      <c r="C46" s="35"/>
      <c r="D46" s="3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1.75" customHeight="1">
      <c r="A47" s="4"/>
      <c r="B47" s="4"/>
      <c r="C47" s="35"/>
      <c r="D47" s="3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1.75" customHeight="1">
      <c r="A48" s="4"/>
      <c r="B48" s="4"/>
      <c r="C48" s="35"/>
      <c r="D48" s="3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1.75" customHeight="1">
      <c r="A49" s="4"/>
      <c r="B49" s="4"/>
      <c r="C49" s="35"/>
      <c r="D49" s="3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1.75" customHeight="1">
      <c r="A50" s="4"/>
      <c r="B50" s="4"/>
      <c r="C50" s="35"/>
      <c r="D50" s="3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1.75" customHeight="1">
      <c r="A51" s="4"/>
      <c r="B51" s="4"/>
      <c r="C51" s="35"/>
      <c r="D51" s="3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1.75" customHeight="1">
      <c r="A52" s="4"/>
      <c r="B52" s="4"/>
      <c r="C52" s="35"/>
      <c r="D52" s="3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1.75" customHeight="1">
      <c r="A53" s="4"/>
      <c r="B53" s="4"/>
      <c r="C53" s="35"/>
      <c r="D53" s="3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1.75" customHeight="1">
      <c r="A54" s="4"/>
      <c r="B54" s="4"/>
      <c r="C54" s="35"/>
      <c r="D54" s="3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1.75" customHeight="1">
      <c r="A55" s="4"/>
      <c r="B55" s="4"/>
      <c r="C55" s="35"/>
      <c r="D55" s="3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1.75" customHeight="1">
      <c r="A56" s="4"/>
      <c r="B56" s="4"/>
      <c r="C56" s="35"/>
      <c r="D56" s="3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1.75" customHeight="1">
      <c r="A57" s="4"/>
      <c r="B57" s="4"/>
      <c r="C57" s="35"/>
      <c r="D57" s="3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1.75" customHeight="1">
      <c r="A58" s="4"/>
      <c r="B58" s="4"/>
      <c r="C58" s="35"/>
      <c r="D58" s="3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1.75" customHeight="1">
      <c r="A59" s="4"/>
      <c r="B59" s="4"/>
      <c r="C59" s="35"/>
      <c r="D59" s="3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1.75" customHeight="1">
      <c r="A60" s="4"/>
      <c r="B60" s="4"/>
      <c r="C60" s="35"/>
      <c r="D60" s="3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1.75" customHeight="1">
      <c r="A61" s="4"/>
      <c r="B61" s="4"/>
      <c r="C61" s="35"/>
      <c r="D61" s="3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1.75" customHeight="1">
      <c r="A62" s="4"/>
      <c r="B62" s="4"/>
      <c r="C62" s="35"/>
      <c r="D62" s="3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1.75" customHeight="1">
      <c r="A63" s="4"/>
      <c r="B63" s="4"/>
      <c r="C63" s="35"/>
      <c r="D63" s="3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35"/>
      <c r="D64" s="3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35"/>
      <c r="D65" s="3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35"/>
      <c r="D66" s="3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35"/>
      <c r="D67" s="3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35"/>
      <c r="D68" s="3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35"/>
      <c r="D69" s="3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35"/>
      <c r="D70" s="3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35"/>
      <c r="D71" s="3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35"/>
      <c r="D72" s="3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35"/>
      <c r="D73" s="3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35"/>
      <c r="D74" s="3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35"/>
      <c r="D75" s="3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35"/>
      <c r="D76" s="3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35"/>
      <c r="D77" s="3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35"/>
      <c r="D78" s="3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35"/>
      <c r="D79" s="3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35"/>
      <c r="D80" s="3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35"/>
      <c r="D81" s="3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35"/>
      <c r="D82" s="3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35"/>
      <c r="D83" s="3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35"/>
      <c r="D84" s="3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35"/>
      <c r="D85" s="3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35"/>
      <c r="D86" s="3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35"/>
      <c r="D87" s="3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35"/>
      <c r="D88" s="3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35"/>
      <c r="D89" s="3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35"/>
      <c r="D90" s="3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35"/>
      <c r="D91" s="3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35"/>
      <c r="D92" s="3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35"/>
      <c r="D93" s="3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35"/>
      <c r="D94" s="3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35"/>
      <c r="D95" s="3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35"/>
      <c r="D96" s="3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35"/>
      <c r="D97" s="3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35"/>
      <c r="D98" s="3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35"/>
      <c r="D99" s="3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35"/>
      <c r="D100" s="3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35"/>
      <c r="D101" s="3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35"/>
      <c r="D102" s="3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35"/>
      <c r="D103" s="3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35"/>
      <c r="D104" s="3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35"/>
      <c r="D105" s="3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35"/>
      <c r="D106" s="3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35"/>
      <c r="D107" s="3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35"/>
      <c r="D108" s="3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35"/>
      <c r="D109" s="3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35"/>
      <c r="D110" s="3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35"/>
      <c r="D111" s="3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35"/>
      <c r="D112" s="3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35"/>
      <c r="D113" s="3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35"/>
      <c r="D114" s="3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35"/>
      <c r="D115" s="3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35"/>
      <c r="D116" s="3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35"/>
      <c r="D117" s="3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35"/>
      <c r="D118" s="3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35"/>
      <c r="D119" s="3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35"/>
      <c r="D120" s="3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35"/>
      <c r="D121" s="3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35"/>
      <c r="D122" s="3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35"/>
      <c r="D123" s="3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35"/>
      <c r="D124" s="3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35"/>
      <c r="D125" s="3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35"/>
      <c r="D126" s="3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35"/>
      <c r="D127" s="3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35"/>
      <c r="D128" s="3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35"/>
      <c r="D129" s="3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35"/>
      <c r="D130" s="3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35"/>
      <c r="D131" s="3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35"/>
      <c r="D132" s="3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35"/>
      <c r="D133" s="3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35"/>
      <c r="D134" s="3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35"/>
      <c r="D135" s="3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35"/>
      <c r="D136" s="3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35"/>
      <c r="D137" s="3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35"/>
      <c r="D138" s="3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35"/>
      <c r="D139" s="3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35"/>
      <c r="D140" s="3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35"/>
      <c r="D141" s="3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35"/>
      <c r="D142" s="3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35"/>
      <c r="D143" s="3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35"/>
      <c r="D144" s="3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35"/>
      <c r="D145" s="3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35"/>
      <c r="D146" s="3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35"/>
      <c r="D147" s="3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35"/>
      <c r="D148" s="3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35"/>
      <c r="D149" s="3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35"/>
      <c r="D150" s="3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35"/>
      <c r="D151" s="3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35"/>
      <c r="D152" s="3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35"/>
      <c r="D153" s="3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35"/>
      <c r="D154" s="3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35"/>
      <c r="D155" s="3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35"/>
      <c r="D156" s="3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35"/>
      <c r="D157" s="3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35"/>
      <c r="D158" s="3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35"/>
      <c r="D159" s="3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35"/>
      <c r="D160" s="3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35"/>
      <c r="D161" s="3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35"/>
      <c r="D162" s="3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35"/>
      <c r="D163" s="3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35"/>
      <c r="D164" s="3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35"/>
      <c r="D165" s="3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35"/>
      <c r="D166" s="3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35"/>
      <c r="D167" s="3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35"/>
      <c r="D168" s="3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35"/>
      <c r="D169" s="3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35"/>
      <c r="D170" s="3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35"/>
      <c r="D171" s="3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35"/>
      <c r="D172" s="3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35"/>
      <c r="D173" s="3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35"/>
      <c r="D174" s="3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35"/>
      <c r="D175" s="3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35"/>
      <c r="D176" s="3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35"/>
      <c r="D177" s="3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35"/>
      <c r="D178" s="3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35"/>
      <c r="D179" s="3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35"/>
      <c r="D180" s="3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35"/>
      <c r="D181" s="3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35"/>
      <c r="D182" s="3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35"/>
      <c r="D183" s="3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35"/>
      <c r="D184" s="3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35"/>
      <c r="D185" s="3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35"/>
      <c r="D186" s="3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35"/>
      <c r="D187" s="3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35"/>
      <c r="D188" s="3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35"/>
      <c r="D189" s="3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35"/>
      <c r="D190" s="3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35"/>
      <c r="D191" s="3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35"/>
      <c r="D192" s="3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35"/>
      <c r="D193" s="3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35"/>
      <c r="D194" s="3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35"/>
      <c r="D195" s="3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35"/>
      <c r="D196" s="3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35"/>
      <c r="D197" s="3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35"/>
      <c r="D198" s="3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35"/>
      <c r="D199" s="3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35"/>
      <c r="D200" s="3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35"/>
      <c r="D201" s="3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35"/>
      <c r="D202" s="3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35"/>
      <c r="D203" s="3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35"/>
      <c r="D204" s="3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35"/>
      <c r="D205" s="3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35"/>
      <c r="D206" s="3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35"/>
      <c r="D207" s="3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35"/>
      <c r="D208" s="3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35"/>
      <c r="D209" s="3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35"/>
      <c r="D210" s="3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35"/>
      <c r="D211" s="3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35"/>
      <c r="D212" s="3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35"/>
      <c r="D213" s="3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35"/>
      <c r="D214" s="3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35"/>
      <c r="D215" s="3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35"/>
      <c r="D216" s="3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35"/>
      <c r="D217" s="3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35"/>
      <c r="D218" s="3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35"/>
      <c r="D219" s="3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35"/>
      <c r="D220" s="3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35"/>
      <c r="D221" s="3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35"/>
      <c r="D222" s="3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35"/>
      <c r="D223" s="3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35"/>
      <c r="D224" s="3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35"/>
      <c r="D225" s="3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35"/>
      <c r="D226" s="3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35"/>
      <c r="D227" s="3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35"/>
      <c r="D228" s="3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35"/>
      <c r="D229" s="3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35"/>
      <c r="D230" s="3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35"/>
      <c r="D231" s="3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35"/>
      <c r="D232" s="3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35"/>
      <c r="D233" s="3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35"/>
      <c r="D234" s="3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35"/>
      <c r="D235" s="3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35"/>
      <c r="D236" s="3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35"/>
      <c r="D237" s="3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35"/>
      <c r="D238" s="3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35"/>
      <c r="D239" s="3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35"/>
      <c r="D240" s="3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6">
    <mergeCell ref="B2:D2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D16"/>
    <mergeCell ref="B17:D17"/>
    <mergeCell ref="B37:D37"/>
    <mergeCell ref="C38:D38"/>
    <mergeCell ref="C39:D39"/>
    <mergeCell ref="C40:D40"/>
    <mergeCell ref="B42:D42"/>
    <mergeCell ref="B21:D21"/>
    <mergeCell ref="B25:D25"/>
    <mergeCell ref="C30:D30"/>
    <mergeCell ref="B32:D32"/>
    <mergeCell ref="C33:D33"/>
    <mergeCell ref="C34:D34"/>
    <mergeCell ref="C35:D35"/>
  </mergeCells>
  <dataValidations>
    <dataValidation type="list" allowBlank="1" showErrorMessage="1" sqref="G5:G12">
      <formula1>"Not Started,In Progress,In Review,Complete"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0.75"/>
    <col customWidth="1" min="2" max="2" width="13.5"/>
    <col customWidth="1" min="3" max="3" width="18.5"/>
  </cols>
  <sheetData>
    <row r="1" ht="15.75" customHeight="1">
      <c r="A1" s="36" t="s">
        <v>54</v>
      </c>
      <c r="B1" s="6"/>
      <c r="C1" s="7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7" t="s">
        <v>55</v>
      </c>
      <c r="B2" s="38">
        <v>5.0</v>
      </c>
      <c r="C2" s="19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9" t="s">
        <v>56</v>
      </c>
      <c r="C3" s="19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37" t="s">
        <v>57</v>
      </c>
      <c r="B4" s="40" t="s">
        <v>58</v>
      </c>
      <c r="C4" s="19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41" t="s">
        <v>59</v>
      </c>
      <c r="B5" s="42"/>
      <c r="C5" s="43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44" t="s">
        <v>60</v>
      </c>
      <c r="B6" s="45"/>
      <c r="C6" s="4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47" t="s">
        <v>61</v>
      </c>
      <c r="B7" s="48"/>
      <c r="C7" s="4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4"/>
      <c r="B8" s="34"/>
      <c r="C8" s="3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50" t="s">
        <v>62</v>
      </c>
      <c r="B9" s="51"/>
      <c r="C9" s="52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53" t="s">
        <v>63</v>
      </c>
      <c r="B10" s="54">
        <v>1.0</v>
      </c>
      <c r="C10" s="52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55" t="s">
        <v>64</v>
      </c>
      <c r="B11" s="56">
        <v>0.5</v>
      </c>
      <c r="C11" s="19"/>
      <c r="D11" s="31"/>
      <c r="E11" s="31"/>
      <c r="F11" s="31"/>
      <c r="G11" s="57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58" t="s">
        <v>65</v>
      </c>
      <c r="B12" s="59" t="s">
        <v>66</v>
      </c>
      <c r="C12" s="60" t="s">
        <v>67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B2:C3"/>
    <mergeCell ref="B4:C5"/>
    <mergeCell ref="A9:C9"/>
    <mergeCell ref="B10:C10"/>
    <mergeCell ref="B11:C11"/>
  </mergeCells>
  <dataValidations>
    <dataValidation type="list" allowBlank="1" showErrorMessage="1" sqref="B6">
      <formula1>"SI,No"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75"/>
    <col customWidth="1" min="2" max="2" width="22.25"/>
    <col customWidth="1" min="3" max="3" width="17.13"/>
    <col customWidth="1" min="4" max="4" width="18.75"/>
    <col customWidth="1" min="5" max="5" width="17.38"/>
    <col customWidth="1" min="6" max="6" width="8.75"/>
    <col customWidth="1" min="7" max="7" width="13.38"/>
    <col customWidth="1" min="8" max="8" width="34.63"/>
    <col customWidth="1" min="9" max="9" width="34.25"/>
  </cols>
  <sheetData>
    <row r="1" ht="22.5" customHeight="1">
      <c r="A1" s="27" t="s">
        <v>68</v>
      </c>
      <c r="B1" s="6"/>
      <c r="C1" s="6"/>
      <c r="D1" s="7"/>
      <c r="E1" s="61"/>
      <c r="F1" s="57"/>
      <c r="G1" s="62"/>
      <c r="H1" s="63" t="s">
        <v>69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ht="15.75" customHeight="1">
      <c r="A2" s="64" t="s">
        <v>70</v>
      </c>
      <c r="B2" s="65" t="s">
        <v>71</v>
      </c>
      <c r="C2" s="66" t="s">
        <v>72</v>
      </c>
      <c r="D2" s="66" t="s">
        <v>73</v>
      </c>
      <c r="E2" s="67" t="s">
        <v>74</v>
      </c>
      <c r="F2" s="57"/>
      <c r="G2" s="68"/>
      <c r="H2" s="63" t="s">
        <v>75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 ht="15.75" customHeight="1">
      <c r="A3" s="69" t="s">
        <v>76</v>
      </c>
      <c r="B3" s="70">
        <v>4.0</v>
      </c>
      <c r="C3" s="71"/>
      <c r="D3" s="71"/>
      <c r="E3" s="72"/>
      <c r="F3" s="57"/>
      <c r="G3" s="73"/>
      <c r="H3" s="63" t="s">
        <v>77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 ht="15.75" customHeight="1">
      <c r="A4" s="74" t="s">
        <v>78</v>
      </c>
      <c r="B4" s="75">
        <f>SUM(B3)</f>
        <v>4</v>
      </c>
      <c r="C4" s="6"/>
      <c r="D4" s="6"/>
      <c r="E4" s="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ht="15.75" customHeight="1">
      <c r="A5" s="57"/>
      <c r="B5" s="76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ht="15.75" customHeight="1">
      <c r="A6" s="27" t="s">
        <v>79</v>
      </c>
      <c r="B6" s="6"/>
      <c r="C6" s="6"/>
      <c r="D6" s="7"/>
      <c r="E6" s="61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 ht="15.75" customHeight="1">
      <c r="A7" s="64" t="s">
        <v>70</v>
      </c>
      <c r="B7" s="65" t="s">
        <v>71</v>
      </c>
      <c r="C7" s="66" t="s">
        <v>72</v>
      </c>
      <c r="D7" s="66" t="s">
        <v>80</v>
      </c>
      <c r="E7" s="67" t="s">
        <v>74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 ht="15.75" customHeight="1">
      <c r="A8" s="69" t="s">
        <v>81</v>
      </c>
      <c r="B8" s="70">
        <v>9.0</v>
      </c>
      <c r="C8" s="71"/>
      <c r="D8" s="71"/>
      <c r="E8" s="72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 ht="15.75" customHeight="1">
      <c r="A9" s="69" t="s">
        <v>82</v>
      </c>
      <c r="B9" s="70">
        <v>1.0</v>
      </c>
      <c r="C9" s="71"/>
      <c r="D9" s="71"/>
      <c r="E9" s="72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 ht="15.75" customHeight="1">
      <c r="A10" s="69" t="s">
        <v>83</v>
      </c>
      <c r="B10" s="70">
        <v>4.0</v>
      </c>
      <c r="C10" s="71"/>
      <c r="D10" s="71"/>
      <c r="E10" s="72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 ht="15.75" customHeight="1">
      <c r="A11" s="69" t="s">
        <v>84</v>
      </c>
      <c r="B11" s="70"/>
      <c r="C11" s="71"/>
      <c r="D11" s="71"/>
      <c r="E11" s="72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 ht="15.75" customHeight="1">
      <c r="A12" s="74" t="s">
        <v>78</v>
      </c>
      <c r="B12" s="75">
        <f>SUM(B8:B11)</f>
        <v>14</v>
      </c>
      <c r="C12" s="6"/>
      <c r="D12" s="6"/>
      <c r="E12" s="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 ht="15.75" customHeight="1">
      <c r="A13" s="57"/>
      <c r="B13" s="76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 ht="15.75" customHeight="1">
      <c r="A14" s="27" t="s">
        <v>85</v>
      </c>
      <c r="B14" s="6"/>
      <c r="C14" s="6"/>
      <c r="D14" s="7"/>
      <c r="E14" s="61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 ht="15.75" customHeight="1">
      <c r="A15" s="64" t="s">
        <v>70</v>
      </c>
      <c r="B15" s="65" t="s">
        <v>71</v>
      </c>
      <c r="C15" s="66" t="s">
        <v>72</v>
      </c>
      <c r="D15" s="66" t="s">
        <v>80</v>
      </c>
      <c r="E15" s="67" t="s">
        <v>74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ht="15.75" customHeight="1">
      <c r="A16" s="69" t="s">
        <v>86</v>
      </c>
      <c r="B16" s="70">
        <v>2.0</v>
      </c>
      <c r="C16" s="71"/>
      <c r="D16" s="71"/>
      <c r="E16" s="72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ht="15.75" customHeight="1">
      <c r="A17" s="69" t="s">
        <v>87</v>
      </c>
      <c r="B17" s="70">
        <v>2.0</v>
      </c>
      <c r="C17" s="71"/>
      <c r="D17" s="71"/>
      <c r="E17" s="72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 ht="15.75" customHeight="1">
      <c r="A18" s="69" t="s">
        <v>88</v>
      </c>
      <c r="B18" s="70">
        <v>2.0</v>
      </c>
      <c r="C18" s="71"/>
      <c r="D18" s="71"/>
      <c r="E18" s="72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 ht="15.75" customHeight="1">
      <c r="A19" s="74" t="s">
        <v>78</v>
      </c>
      <c r="B19" s="75">
        <f>SUM(B16:B18)</f>
        <v>6</v>
      </c>
      <c r="C19" s="6"/>
      <c r="D19" s="6"/>
      <c r="E19" s="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 ht="15.75" customHeight="1">
      <c r="A20" s="57"/>
      <c r="B20" s="7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 ht="15.75" customHeight="1">
      <c r="A21" s="27" t="s">
        <v>89</v>
      </c>
      <c r="B21" s="6"/>
      <c r="C21" s="6"/>
      <c r="D21" s="7"/>
      <c r="E21" s="61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 ht="15.75" customHeight="1">
      <c r="A22" s="64" t="s">
        <v>70</v>
      </c>
      <c r="B22" s="65" t="s">
        <v>71</v>
      </c>
      <c r="C22" s="66" t="s">
        <v>72</v>
      </c>
      <c r="D22" s="66" t="s">
        <v>80</v>
      </c>
      <c r="E22" s="67" t="s">
        <v>74</v>
      </c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 ht="15.75" customHeight="1">
      <c r="A23" s="69" t="s">
        <v>90</v>
      </c>
      <c r="B23" s="70">
        <v>2.0</v>
      </c>
      <c r="C23" s="71"/>
      <c r="D23" s="71"/>
      <c r="E23" s="72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 ht="15.75" customHeight="1">
      <c r="A24" s="74" t="s">
        <v>78</v>
      </c>
      <c r="B24" s="75">
        <f>SUM(B20:B23)</f>
        <v>2</v>
      </c>
      <c r="C24" s="6"/>
      <c r="D24" s="6"/>
      <c r="E24" s="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 ht="15.75" customHeight="1">
      <c r="A25" s="57"/>
      <c r="B25" s="7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 ht="34.5" customHeight="1">
      <c r="A26" s="77" t="s">
        <v>91</v>
      </c>
      <c r="B26" s="78">
        <f>B24+B19+B12+B4</f>
        <v>26</v>
      </c>
      <c r="C26" s="79"/>
      <c r="D26" s="79"/>
      <c r="E26" s="80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>
      <c r="A27" s="57"/>
      <c r="B27" s="7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ht="15.75" customHeight="1">
      <c r="A28" s="57"/>
      <c r="B28" s="7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 ht="15.75" customHeight="1">
      <c r="A29" s="57"/>
      <c r="B29" s="76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 ht="15.75" customHeight="1">
      <c r="A30" s="57"/>
      <c r="B30" s="7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 ht="15.75" customHeight="1">
      <c r="A31" s="57"/>
      <c r="B31" s="76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 ht="15.75" customHeight="1">
      <c r="A32" s="57"/>
      <c r="B32" s="76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 ht="15.75" customHeight="1">
      <c r="A33" s="57"/>
      <c r="B33" s="76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 ht="15.75" customHeight="1">
      <c r="A34" s="57"/>
      <c r="B34" s="7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ht="15.75" customHeight="1">
      <c r="A35" s="57"/>
      <c r="B35" s="76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ht="15.75" customHeight="1">
      <c r="A36" s="57"/>
      <c r="B36" s="76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ht="15.75" customHeight="1">
      <c r="A37" s="57"/>
      <c r="B37" s="7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 ht="15.75" customHeight="1">
      <c r="A38" s="57"/>
      <c r="B38" s="76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 ht="15.75" customHeight="1">
      <c r="A39" s="57"/>
      <c r="B39" s="7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</row>
    <row r="40" ht="15.75" customHeight="1">
      <c r="A40" s="57"/>
      <c r="B40" s="76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 ht="15.75" customHeight="1">
      <c r="A41" s="57"/>
      <c r="B41" s="7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 ht="15.75" customHeight="1">
      <c r="A42" s="57"/>
      <c r="B42" s="76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 ht="15.75" customHeight="1">
      <c r="A43" s="57"/>
      <c r="B43" s="7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ht="15.75" customHeight="1">
      <c r="A44" s="57"/>
      <c r="B44" s="76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 ht="15.75" customHeight="1">
      <c r="A45" s="57"/>
      <c r="B45" s="7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</row>
    <row r="46" ht="15.75" customHeight="1">
      <c r="A46" s="57"/>
      <c r="B46" s="7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</row>
    <row r="47" ht="15.75" customHeight="1">
      <c r="A47" s="57"/>
      <c r="B47" s="76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</row>
    <row r="48" ht="15.75" customHeight="1">
      <c r="A48" s="57"/>
      <c r="B48" s="7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</row>
    <row r="49" ht="15.75" customHeight="1">
      <c r="A49" s="57"/>
      <c r="B49" s="7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</row>
    <row r="50" ht="15.75" customHeight="1">
      <c r="A50" s="57"/>
      <c r="B50" s="76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 ht="15.75" customHeight="1">
      <c r="A51" s="57"/>
      <c r="B51" s="76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</row>
    <row r="52" ht="15.75" customHeight="1">
      <c r="A52" s="57"/>
      <c r="B52" s="7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</row>
    <row r="53" ht="15.75" customHeight="1">
      <c r="A53" s="57"/>
      <c r="B53" s="7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</row>
    <row r="54" ht="15.75" customHeight="1">
      <c r="A54" s="57"/>
      <c r="B54" s="7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</row>
    <row r="55" ht="15.75" customHeight="1">
      <c r="A55" s="57"/>
      <c r="B55" s="76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</row>
    <row r="56" ht="15.75" customHeight="1">
      <c r="A56" s="57"/>
      <c r="B56" s="7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</row>
    <row r="57" ht="15.75" customHeight="1">
      <c r="A57" s="57"/>
      <c r="B57" s="7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</row>
    <row r="58" ht="15.75" customHeight="1">
      <c r="A58" s="57"/>
      <c r="B58" s="7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</row>
    <row r="59" ht="15.75" customHeight="1">
      <c r="A59" s="57"/>
      <c r="B59" s="7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ht="15.75" customHeight="1">
      <c r="A60" s="57"/>
      <c r="B60" s="7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</row>
    <row r="61" ht="15.75" customHeight="1">
      <c r="A61" s="57"/>
      <c r="B61" s="7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</row>
    <row r="62" ht="15.75" customHeight="1">
      <c r="A62" s="57"/>
      <c r="B62" s="76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</row>
    <row r="63" ht="15.75" customHeight="1">
      <c r="A63" s="57"/>
      <c r="B63" s="7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</row>
    <row r="64" ht="15.75" customHeight="1">
      <c r="A64" s="57"/>
      <c r="B64" s="76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</row>
    <row r="65" ht="15.75" customHeight="1">
      <c r="A65" s="57"/>
      <c r="B65" s="76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</row>
    <row r="66" ht="15.75" customHeight="1">
      <c r="A66" s="57"/>
      <c r="B66" s="76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</row>
    <row r="67" ht="15.75" customHeight="1">
      <c r="A67" s="57"/>
      <c r="B67" s="76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</row>
    <row r="68" ht="15.75" customHeight="1">
      <c r="A68" s="57"/>
      <c r="B68" s="7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</row>
    <row r="69" ht="15.75" customHeight="1">
      <c r="A69" s="57"/>
      <c r="B69" s="76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</row>
    <row r="70" ht="15.75" customHeight="1">
      <c r="A70" s="57"/>
      <c r="B70" s="7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</row>
    <row r="71" ht="15.75" customHeight="1">
      <c r="A71" s="57"/>
      <c r="B71" s="7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</row>
    <row r="72" ht="15.75" customHeight="1">
      <c r="A72" s="57"/>
      <c r="B72" s="76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</row>
    <row r="73" ht="15.75" customHeight="1">
      <c r="A73" s="57"/>
      <c r="B73" s="76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</row>
    <row r="74" ht="15.75" customHeight="1">
      <c r="A74" s="57"/>
      <c r="B74" s="7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</row>
    <row r="75" ht="15.75" customHeight="1">
      <c r="A75" s="57"/>
      <c r="B75" s="76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</row>
    <row r="76" ht="15.75" customHeight="1">
      <c r="A76" s="57"/>
      <c r="B76" s="76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</row>
    <row r="77" ht="15.75" customHeight="1">
      <c r="A77" s="57"/>
      <c r="B77" s="76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</row>
    <row r="78" ht="15.75" customHeight="1">
      <c r="A78" s="57"/>
      <c r="B78" s="76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</row>
    <row r="79" ht="15.75" customHeight="1">
      <c r="A79" s="57"/>
      <c r="B79" s="76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 ht="15.75" customHeight="1">
      <c r="A80" s="57"/>
      <c r="B80" s="76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</row>
    <row r="81" ht="15.75" customHeight="1">
      <c r="A81" s="57"/>
      <c r="B81" s="76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</row>
    <row r="82" ht="15.75" customHeight="1">
      <c r="A82" s="57"/>
      <c r="B82" s="76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</row>
    <row r="83" ht="15.75" customHeight="1">
      <c r="A83" s="57"/>
      <c r="B83" s="76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</row>
    <row r="84" ht="15.75" customHeight="1">
      <c r="A84" s="57"/>
      <c r="B84" s="76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</row>
    <row r="85" ht="15.75" customHeight="1">
      <c r="A85" s="57"/>
      <c r="B85" s="76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</row>
    <row r="86" ht="15.75" customHeight="1">
      <c r="A86" s="57"/>
      <c r="B86" s="76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</row>
    <row r="87" ht="15.75" customHeight="1">
      <c r="A87" s="57"/>
      <c r="B87" s="76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</row>
    <row r="88" ht="15.75" customHeight="1">
      <c r="A88" s="57"/>
      <c r="B88" s="76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</row>
    <row r="89" ht="15.75" customHeight="1">
      <c r="A89" s="57"/>
      <c r="B89" s="76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</row>
    <row r="90" ht="15.75" customHeight="1">
      <c r="A90" s="57"/>
      <c r="B90" s="76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</row>
    <row r="91" ht="15.75" customHeight="1">
      <c r="A91" s="57"/>
      <c r="B91" s="76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</row>
    <row r="92" ht="15.75" customHeight="1">
      <c r="A92" s="57"/>
      <c r="B92" s="76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</row>
    <row r="93" ht="15.75" customHeight="1">
      <c r="A93" s="57"/>
      <c r="B93" s="76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</row>
    <row r="94" ht="15.75" customHeight="1">
      <c r="A94" s="57"/>
      <c r="B94" s="76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</row>
    <row r="95" ht="15.75" customHeight="1">
      <c r="A95" s="57"/>
      <c r="B95" s="76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</row>
    <row r="96" ht="15.75" customHeight="1">
      <c r="A96" s="57"/>
      <c r="B96" s="76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</row>
    <row r="97" ht="15.75" customHeight="1">
      <c r="A97" s="57"/>
      <c r="B97" s="76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</row>
    <row r="98" ht="15.75" customHeight="1">
      <c r="A98" s="57"/>
      <c r="B98" s="76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 ht="15.75" customHeight="1">
      <c r="A99" s="57"/>
      <c r="B99" s="76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 ht="15.75" customHeight="1">
      <c r="A100" s="57"/>
      <c r="B100" s="76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 ht="15.75" customHeight="1">
      <c r="A101" s="57"/>
      <c r="B101" s="76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2" ht="15.75" customHeight="1">
      <c r="A102" s="57"/>
      <c r="B102" s="76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</row>
    <row r="103" ht="15.75" customHeight="1">
      <c r="A103" s="57"/>
      <c r="B103" s="76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</row>
    <row r="104" ht="15.75" customHeight="1">
      <c r="A104" s="57"/>
      <c r="B104" s="76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</row>
    <row r="105" ht="15.75" customHeight="1">
      <c r="A105" s="57"/>
      <c r="B105" s="76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</row>
    <row r="106" ht="15.75" customHeight="1">
      <c r="A106" s="57"/>
      <c r="B106" s="76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</row>
    <row r="107" ht="15.75" customHeight="1">
      <c r="A107" s="57"/>
      <c r="B107" s="76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</row>
    <row r="108" ht="15.75" customHeight="1">
      <c r="A108" s="57"/>
      <c r="B108" s="76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</row>
    <row r="109" ht="15.75" customHeight="1">
      <c r="A109" s="57"/>
      <c r="B109" s="76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</row>
    <row r="110" ht="15.75" customHeight="1">
      <c r="A110" s="57"/>
      <c r="B110" s="76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</row>
    <row r="111" ht="15.75" customHeight="1">
      <c r="A111" s="57"/>
      <c r="B111" s="76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</row>
    <row r="112" ht="15.75" customHeight="1">
      <c r="A112" s="57"/>
      <c r="B112" s="76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</row>
    <row r="113" ht="15.75" customHeight="1">
      <c r="A113" s="57"/>
      <c r="B113" s="76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</row>
    <row r="114" ht="15.75" customHeight="1">
      <c r="A114" s="57"/>
      <c r="B114" s="76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</row>
    <row r="115" ht="15.75" customHeight="1">
      <c r="A115" s="57"/>
      <c r="B115" s="76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</row>
    <row r="116" ht="15.75" customHeight="1">
      <c r="A116" s="57"/>
      <c r="B116" s="76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</row>
    <row r="117" ht="15.75" customHeight="1">
      <c r="A117" s="57"/>
      <c r="B117" s="76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</row>
    <row r="118" ht="15.75" customHeight="1">
      <c r="A118" s="57"/>
      <c r="B118" s="76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</row>
    <row r="119" ht="15.75" customHeight="1">
      <c r="A119" s="57"/>
      <c r="B119" s="76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</row>
    <row r="120" ht="15.75" customHeight="1">
      <c r="A120" s="57"/>
      <c r="B120" s="76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</row>
    <row r="121" ht="15.75" customHeight="1">
      <c r="A121" s="57"/>
      <c r="B121" s="76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</row>
    <row r="122" ht="15.75" customHeight="1">
      <c r="A122" s="57"/>
      <c r="B122" s="76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</row>
    <row r="123" ht="15.75" customHeight="1">
      <c r="A123" s="57"/>
      <c r="B123" s="76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</row>
    <row r="124" ht="15.75" customHeight="1">
      <c r="A124" s="57"/>
      <c r="B124" s="76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</row>
    <row r="125" ht="15.75" customHeight="1">
      <c r="A125" s="57"/>
      <c r="B125" s="76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</row>
    <row r="126" ht="15.75" customHeight="1">
      <c r="A126" s="57"/>
      <c r="B126" s="76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 ht="15.75" customHeight="1">
      <c r="A127" s="57"/>
      <c r="B127" s="76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 ht="15.75" customHeight="1">
      <c r="A128" s="57"/>
      <c r="B128" s="76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</row>
    <row r="129" ht="15.75" customHeight="1">
      <c r="A129" s="57"/>
      <c r="B129" s="76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</row>
    <row r="130" ht="15.75" customHeight="1">
      <c r="A130" s="57"/>
      <c r="B130" s="76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</row>
    <row r="131" ht="15.75" customHeight="1">
      <c r="A131" s="57"/>
      <c r="B131" s="76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</row>
    <row r="132" ht="15.75" customHeight="1">
      <c r="A132" s="57"/>
      <c r="B132" s="76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 ht="15.75" customHeight="1">
      <c r="A133" s="57"/>
      <c r="B133" s="76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</row>
    <row r="134" ht="15.75" customHeight="1">
      <c r="A134" s="57"/>
      <c r="B134" s="76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</row>
    <row r="135" ht="15.75" customHeight="1">
      <c r="A135" s="57"/>
      <c r="B135" s="76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</row>
    <row r="136" ht="15.75" customHeight="1">
      <c r="A136" s="57"/>
      <c r="B136" s="76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</row>
    <row r="137" ht="15.75" customHeight="1">
      <c r="A137" s="57"/>
      <c r="B137" s="76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</row>
    <row r="138" ht="15.75" customHeight="1">
      <c r="A138" s="57"/>
      <c r="B138" s="76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</row>
    <row r="139" ht="15.75" customHeight="1">
      <c r="A139" s="57"/>
      <c r="B139" s="76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</row>
    <row r="140" ht="15.75" customHeight="1">
      <c r="A140" s="57"/>
      <c r="B140" s="76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</row>
    <row r="141" ht="15.75" customHeight="1">
      <c r="A141" s="57"/>
      <c r="B141" s="76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</row>
    <row r="142" ht="15.75" customHeight="1">
      <c r="A142" s="57"/>
      <c r="B142" s="76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</row>
    <row r="143" ht="15.75" customHeight="1">
      <c r="A143" s="57"/>
      <c r="B143" s="76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</row>
    <row r="144" ht="15.75" customHeight="1">
      <c r="A144" s="57"/>
      <c r="B144" s="76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</row>
    <row r="145" ht="15.75" customHeight="1">
      <c r="A145" s="57"/>
      <c r="B145" s="76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</row>
    <row r="146" ht="15.75" customHeight="1">
      <c r="A146" s="57"/>
      <c r="B146" s="76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 ht="15.75" customHeight="1">
      <c r="A147" s="57"/>
      <c r="B147" s="76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</row>
    <row r="148" ht="15.75" customHeight="1">
      <c r="A148" s="57"/>
      <c r="B148" s="76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</row>
    <row r="149" ht="15.75" customHeight="1">
      <c r="A149" s="57"/>
      <c r="B149" s="76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</row>
    <row r="150" ht="15.75" customHeight="1">
      <c r="A150" s="57"/>
      <c r="B150" s="76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</row>
    <row r="151" ht="15.75" customHeight="1">
      <c r="A151" s="57"/>
      <c r="B151" s="76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</row>
    <row r="152" ht="15.75" customHeight="1">
      <c r="A152" s="57"/>
      <c r="B152" s="76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</row>
    <row r="153" ht="15.75" customHeight="1">
      <c r="A153" s="57"/>
      <c r="B153" s="76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</row>
    <row r="154" ht="15.75" customHeight="1">
      <c r="A154" s="57"/>
      <c r="B154" s="76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 ht="15.75" customHeight="1">
      <c r="A155" s="57"/>
      <c r="B155" s="76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</row>
    <row r="156" ht="15.75" customHeight="1">
      <c r="A156" s="57"/>
      <c r="B156" s="76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</row>
    <row r="157" ht="15.75" customHeight="1">
      <c r="A157" s="57"/>
      <c r="B157" s="76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</row>
    <row r="158" ht="15.75" customHeight="1">
      <c r="A158" s="57"/>
      <c r="B158" s="76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</row>
    <row r="159" ht="15.75" customHeight="1">
      <c r="A159" s="57"/>
      <c r="B159" s="76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</row>
    <row r="160" ht="15.75" customHeight="1">
      <c r="A160" s="57"/>
      <c r="B160" s="76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</row>
    <row r="161" ht="15.75" customHeight="1">
      <c r="A161" s="57"/>
      <c r="B161" s="76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</row>
    <row r="162" ht="15.75" customHeight="1">
      <c r="A162" s="57"/>
      <c r="B162" s="76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</row>
    <row r="163" ht="15.75" customHeight="1">
      <c r="A163" s="57"/>
      <c r="B163" s="76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</row>
    <row r="164" ht="15.75" customHeight="1">
      <c r="A164" s="57"/>
      <c r="B164" s="76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</row>
    <row r="165" ht="15.75" customHeight="1">
      <c r="A165" s="57"/>
      <c r="B165" s="76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</row>
    <row r="166" ht="15.75" customHeight="1">
      <c r="A166" s="57"/>
      <c r="B166" s="76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</row>
    <row r="167" ht="15.75" customHeight="1">
      <c r="A167" s="57"/>
      <c r="B167" s="76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</row>
    <row r="168" ht="15.75" customHeight="1">
      <c r="A168" s="57"/>
      <c r="B168" s="76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</row>
    <row r="169" ht="15.75" customHeight="1">
      <c r="A169" s="57"/>
      <c r="B169" s="76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</row>
    <row r="170" ht="15.75" customHeight="1">
      <c r="A170" s="57"/>
      <c r="B170" s="76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</row>
    <row r="171" ht="15.75" customHeight="1">
      <c r="A171" s="57"/>
      <c r="B171" s="76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</row>
    <row r="172" ht="15.75" customHeight="1">
      <c r="A172" s="57"/>
      <c r="B172" s="76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</row>
    <row r="173" ht="15.75" customHeight="1">
      <c r="A173" s="57"/>
      <c r="B173" s="76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</row>
    <row r="174" ht="15.75" customHeight="1">
      <c r="A174" s="57"/>
      <c r="B174" s="76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</row>
    <row r="175" ht="15.75" customHeight="1">
      <c r="A175" s="57"/>
      <c r="B175" s="76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</row>
    <row r="176" ht="15.75" customHeight="1">
      <c r="A176" s="57"/>
      <c r="B176" s="76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</row>
    <row r="177" ht="15.75" customHeight="1">
      <c r="A177" s="57"/>
      <c r="B177" s="76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</row>
    <row r="178" ht="15.75" customHeight="1">
      <c r="A178" s="57"/>
      <c r="B178" s="76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</row>
    <row r="179" ht="15.75" customHeight="1">
      <c r="A179" s="57"/>
      <c r="B179" s="76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</row>
    <row r="180" ht="15.75" customHeight="1">
      <c r="A180" s="57"/>
      <c r="B180" s="76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</row>
    <row r="181" ht="15.75" customHeight="1">
      <c r="A181" s="57"/>
      <c r="B181" s="76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</row>
    <row r="182" ht="15.75" customHeight="1">
      <c r="A182" s="57"/>
      <c r="B182" s="76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</row>
    <row r="183" ht="15.75" customHeight="1">
      <c r="A183" s="57"/>
      <c r="B183" s="76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</row>
    <row r="184" ht="15.75" customHeight="1">
      <c r="A184" s="57"/>
      <c r="B184" s="76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</row>
    <row r="185" ht="15.75" customHeight="1">
      <c r="A185" s="57"/>
      <c r="B185" s="76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</row>
    <row r="186" ht="15.75" customHeight="1">
      <c r="A186" s="57"/>
      <c r="B186" s="76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</row>
    <row r="187" ht="15.75" customHeight="1">
      <c r="A187" s="57"/>
      <c r="B187" s="76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</row>
    <row r="188" ht="15.75" customHeight="1">
      <c r="A188" s="57"/>
      <c r="B188" s="76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</row>
    <row r="189" ht="15.75" customHeight="1">
      <c r="A189" s="57"/>
      <c r="B189" s="76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</row>
    <row r="190" ht="15.75" customHeight="1">
      <c r="A190" s="57"/>
      <c r="B190" s="76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</row>
    <row r="191" ht="15.75" customHeight="1">
      <c r="A191" s="57"/>
      <c r="B191" s="76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</row>
    <row r="192" ht="15.75" customHeight="1">
      <c r="A192" s="57"/>
      <c r="B192" s="76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</row>
    <row r="193" ht="15.75" customHeight="1">
      <c r="A193" s="57"/>
      <c r="B193" s="76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</row>
    <row r="194" ht="15.75" customHeight="1">
      <c r="A194" s="57"/>
      <c r="B194" s="76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</row>
    <row r="195" ht="15.75" customHeight="1">
      <c r="A195" s="57"/>
      <c r="B195" s="76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</row>
    <row r="196" ht="15.75" customHeight="1">
      <c r="A196" s="57"/>
      <c r="B196" s="76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</row>
    <row r="197" ht="15.75" customHeight="1">
      <c r="A197" s="57"/>
      <c r="B197" s="76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</row>
    <row r="198" ht="15.75" customHeight="1">
      <c r="A198" s="57"/>
      <c r="B198" s="76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</row>
    <row r="199" ht="15.75" customHeight="1">
      <c r="A199" s="57"/>
      <c r="B199" s="76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</row>
    <row r="200" ht="15.75" customHeight="1">
      <c r="A200" s="57"/>
      <c r="B200" s="76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</row>
    <row r="201" ht="15.75" customHeight="1">
      <c r="A201" s="57"/>
      <c r="B201" s="76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</row>
    <row r="202" ht="15.75" customHeight="1">
      <c r="A202" s="57"/>
      <c r="B202" s="76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</row>
    <row r="203" ht="15.75" customHeight="1">
      <c r="A203" s="57"/>
      <c r="B203" s="76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</row>
    <row r="204" ht="15.75" customHeight="1">
      <c r="A204" s="57"/>
      <c r="B204" s="76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</row>
    <row r="205" ht="15.75" customHeight="1">
      <c r="A205" s="57"/>
      <c r="B205" s="76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</row>
    <row r="206" ht="15.75" customHeight="1">
      <c r="A206" s="57"/>
      <c r="B206" s="76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</row>
    <row r="207" ht="15.75" customHeight="1">
      <c r="A207" s="57"/>
      <c r="B207" s="76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</row>
    <row r="208" ht="15.75" customHeight="1">
      <c r="A208" s="57"/>
      <c r="B208" s="76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</row>
    <row r="209" ht="15.75" customHeight="1">
      <c r="A209" s="57"/>
      <c r="B209" s="76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</row>
    <row r="210" ht="15.75" customHeight="1">
      <c r="A210" s="57"/>
      <c r="B210" s="76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</row>
    <row r="211" ht="15.75" customHeight="1">
      <c r="A211" s="57"/>
      <c r="B211" s="76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</row>
    <row r="212" ht="15.75" customHeight="1">
      <c r="A212" s="57"/>
      <c r="B212" s="76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</row>
    <row r="213" ht="15.75" customHeight="1">
      <c r="A213" s="57"/>
      <c r="B213" s="76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</row>
    <row r="214" ht="15.75" customHeight="1">
      <c r="A214" s="57"/>
      <c r="B214" s="76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</row>
    <row r="215" ht="15.75" customHeight="1">
      <c r="A215" s="57"/>
      <c r="B215" s="76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 ht="15.75" customHeight="1">
      <c r="A216" s="57"/>
      <c r="B216" s="76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 ht="15.75" customHeight="1">
      <c r="A217" s="57"/>
      <c r="B217" s="76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 ht="15.75" customHeight="1">
      <c r="A218" s="57"/>
      <c r="B218" s="76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 ht="15.75" customHeight="1">
      <c r="A219" s="57"/>
      <c r="B219" s="76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 ht="15.75" customHeight="1">
      <c r="A220" s="57"/>
      <c r="B220" s="76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 ht="15.75" customHeight="1">
      <c r="A221" s="57"/>
      <c r="B221" s="76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 ht="15.75" customHeight="1">
      <c r="A222" s="57"/>
      <c r="B222" s="76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 ht="15.75" customHeight="1">
      <c r="A223" s="57"/>
      <c r="B223" s="76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 ht="15.75" customHeight="1">
      <c r="A224" s="57"/>
      <c r="B224" s="76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 ht="15.75" customHeight="1">
      <c r="A225" s="57"/>
      <c r="B225" s="76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 ht="15.75" customHeight="1">
      <c r="A226" s="57"/>
      <c r="B226" s="76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 ht="15.75" customHeight="1">
      <c r="A227" s="57"/>
      <c r="B227" s="76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 ht="15.75" customHeight="1">
      <c r="A228" s="57"/>
      <c r="B228" s="76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 ht="15.75" customHeight="1">
      <c r="A229" s="57"/>
      <c r="B229" s="76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 ht="15.75" customHeight="1">
      <c r="A230" s="57"/>
      <c r="B230" s="76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 ht="15.75" customHeight="1">
      <c r="A231" s="57"/>
      <c r="B231" s="76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 ht="15.75" customHeight="1">
      <c r="A232" s="57"/>
      <c r="B232" s="76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 ht="15.75" customHeight="1">
      <c r="A233" s="57"/>
      <c r="B233" s="76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 ht="15.75" customHeight="1">
      <c r="A234" s="57"/>
      <c r="B234" s="76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 ht="15.75" customHeight="1">
      <c r="A235" s="57"/>
      <c r="B235" s="76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 ht="15.75" customHeight="1">
      <c r="A236" s="57"/>
      <c r="B236" s="76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 ht="15.75" customHeight="1">
      <c r="A237" s="57"/>
      <c r="B237" s="76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 ht="15.75" customHeight="1">
      <c r="A238" s="57"/>
      <c r="B238" s="76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 ht="15.75" customHeight="1">
      <c r="A239" s="57"/>
      <c r="B239" s="76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 ht="15.75" customHeight="1">
      <c r="A240" s="57"/>
      <c r="B240" s="76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 ht="15.75" customHeight="1">
      <c r="A241" s="57"/>
      <c r="B241" s="76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 ht="15.75" customHeight="1">
      <c r="A242" s="57"/>
      <c r="B242" s="76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 ht="15.75" customHeight="1">
      <c r="A243" s="57"/>
      <c r="B243" s="76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 ht="15.75" customHeight="1">
      <c r="A244" s="57"/>
      <c r="B244" s="76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 ht="15.75" customHeight="1">
      <c r="A245" s="57"/>
      <c r="B245" s="76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 ht="15.75" customHeight="1">
      <c r="A246" s="57"/>
      <c r="B246" s="76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 ht="15.75" customHeight="1">
      <c r="A247" s="57"/>
      <c r="B247" s="76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 ht="15.75" customHeight="1">
      <c r="A248" s="57"/>
      <c r="B248" s="76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 ht="15.75" customHeight="1">
      <c r="A249" s="57"/>
      <c r="B249" s="76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 ht="15.75" customHeight="1">
      <c r="A250" s="57"/>
      <c r="B250" s="76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 ht="15.75" customHeight="1">
      <c r="A251" s="57"/>
      <c r="B251" s="76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 ht="15.75" customHeight="1">
      <c r="A252" s="57"/>
      <c r="B252" s="76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 ht="15.75" customHeight="1">
      <c r="A253" s="57"/>
      <c r="B253" s="76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 ht="15.75" customHeight="1">
      <c r="A254" s="57"/>
      <c r="B254" s="76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 ht="15.75" customHeight="1">
      <c r="A255" s="57"/>
      <c r="B255" s="76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 ht="15.75" customHeight="1">
      <c r="A256" s="57"/>
      <c r="B256" s="76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 ht="15.75" customHeight="1">
      <c r="A257" s="57"/>
      <c r="B257" s="76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 ht="15.75" customHeight="1">
      <c r="A258" s="57"/>
      <c r="B258" s="76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 ht="15.75" customHeight="1">
      <c r="A259" s="57"/>
      <c r="B259" s="76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 ht="15.75" customHeight="1">
      <c r="A260" s="57"/>
      <c r="B260" s="76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 ht="15.75" customHeight="1">
      <c r="A261" s="57"/>
      <c r="B261" s="76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 ht="15.75" customHeight="1">
      <c r="A262" s="57"/>
      <c r="B262" s="76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 ht="15.75" customHeight="1">
      <c r="A263" s="57"/>
      <c r="B263" s="76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 ht="15.75" customHeight="1">
      <c r="A264" s="57"/>
      <c r="B264" s="76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 ht="15.75" customHeight="1">
      <c r="A265" s="57"/>
      <c r="B265" s="76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 ht="15.75" customHeight="1">
      <c r="A266" s="57"/>
      <c r="B266" s="76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 ht="15.75" customHeight="1">
      <c r="A267" s="57"/>
      <c r="B267" s="76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 ht="15.75" customHeight="1">
      <c r="A268" s="57"/>
      <c r="B268" s="76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 ht="15.75" customHeight="1">
      <c r="A269" s="57"/>
      <c r="B269" s="76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 ht="15.75" customHeight="1">
      <c r="A270" s="57"/>
      <c r="B270" s="76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 ht="15.75" customHeight="1">
      <c r="A271" s="57"/>
      <c r="B271" s="76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 ht="15.75" customHeight="1">
      <c r="A272" s="57"/>
      <c r="B272" s="76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 ht="15.75" customHeight="1">
      <c r="A273" s="57"/>
      <c r="B273" s="76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 ht="15.75" customHeight="1">
      <c r="A274" s="57"/>
      <c r="B274" s="76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 ht="15.75" customHeight="1">
      <c r="A275" s="57"/>
      <c r="B275" s="76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 ht="15.75" customHeight="1">
      <c r="A276" s="57"/>
      <c r="B276" s="76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 ht="15.75" customHeight="1">
      <c r="A277" s="57"/>
      <c r="B277" s="76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 ht="15.75" customHeight="1">
      <c r="A278" s="57"/>
      <c r="B278" s="76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 ht="15.75" customHeight="1">
      <c r="A279" s="57"/>
      <c r="B279" s="76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 ht="15.75" customHeight="1">
      <c r="A280" s="57"/>
      <c r="B280" s="76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 ht="15.75" customHeight="1">
      <c r="A281" s="57"/>
      <c r="B281" s="76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 ht="15.75" customHeight="1">
      <c r="A282" s="57"/>
      <c r="B282" s="76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 ht="15.75" customHeight="1">
      <c r="A283" s="57"/>
      <c r="B283" s="76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 ht="15.75" customHeight="1">
      <c r="A284" s="57"/>
      <c r="B284" s="76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 ht="15.75" customHeight="1">
      <c r="A285" s="57"/>
      <c r="B285" s="76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 ht="15.75" customHeight="1">
      <c r="A286" s="57"/>
      <c r="B286" s="76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 ht="15.75" customHeight="1">
      <c r="A287" s="57"/>
      <c r="B287" s="76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 ht="15.75" customHeight="1">
      <c r="A288" s="57"/>
      <c r="B288" s="76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 ht="15.75" customHeight="1">
      <c r="A289" s="57"/>
      <c r="B289" s="76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 ht="15.75" customHeight="1">
      <c r="A290" s="57"/>
      <c r="B290" s="76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 ht="15.75" customHeight="1">
      <c r="A291" s="57"/>
      <c r="B291" s="76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 ht="15.75" customHeight="1">
      <c r="A292" s="57"/>
      <c r="B292" s="76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 ht="15.75" customHeight="1">
      <c r="A293" s="57"/>
      <c r="B293" s="76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 ht="15.75" customHeight="1">
      <c r="A294" s="57"/>
      <c r="B294" s="76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 ht="15.75" customHeight="1">
      <c r="A295" s="57"/>
      <c r="B295" s="76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 ht="15.75" customHeight="1">
      <c r="A296" s="57"/>
      <c r="B296" s="76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 ht="15.75" customHeight="1">
      <c r="A297" s="57"/>
      <c r="B297" s="76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 ht="15.75" customHeight="1">
      <c r="A298" s="57"/>
      <c r="B298" s="76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 ht="15.75" customHeight="1">
      <c r="A299" s="57"/>
      <c r="B299" s="76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 ht="15.75" customHeight="1">
      <c r="A300" s="57"/>
      <c r="B300" s="76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 ht="15.75" customHeight="1">
      <c r="A301" s="57"/>
      <c r="B301" s="76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 ht="15.75" customHeight="1">
      <c r="A302" s="57"/>
      <c r="B302" s="76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 ht="15.75" customHeight="1">
      <c r="A303" s="57"/>
      <c r="B303" s="76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 ht="15.75" customHeight="1">
      <c r="A304" s="57"/>
      <c r="B304" s="76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 ht="15.75" customHeight="1">
      <c r="A305" s="57"/>
      <c r="B305" s="76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 ht="15.75" customHeight="1">
      <c r="A306" s="57"/>
      <c r="B306" s="76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 ht="15.75" customHeight="1">
      <c r="A307" s="57"/>
      <c r="B307" s="76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 ht="15.75" customHeight="1">
      <c r="A308" s="57"/>
      <c r="B308" s="76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 ht="15.75" customHeight="1">
      <c r="A309" s="57"/>
      <c r="B309" s="76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 ht="15.75" customHeight="1">
      <c r="A310" s="57"/>
      <c r="B310" s="76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 ht="15.75" customHeight="1">
      <c r="A311" s="57"/>
      <c r="B311" s="76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 ht="15.75" customHeight="1">
      <c r="A312" s="57"/>
      <c r="B312" s="76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 ht="15.75" customHeight="1">
      <c r="A313" s="57"/>
      <c r="B313" s="76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 ht="15.75" customHeight="1">
      <c r="A314" s="57"/>
      <c r="B314" s="76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 ht="15.75" customHeight="1">
      <c r="A315" s="57"/>
      <c r="B315" s="76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 ht="15.75" customHeight="1">
      <c r="A316" s="57"/>
      <c r="B316" s="76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 ht="15.75" customHeight="1">
      <c r="A317" s="57"/>
      <c r="B317" s="76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 ht="15.75" customHeight="1">
      <c r="A318" s="57"/>
      <c r="B318" s="76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 ht="15.75" customHeight="1">
      <c r="A319" s="57"/>
      <c r="B319" s="76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 ht="15.75" customHeight="1">
      <c r="A320" s="57"/>
      <c r="B320" s="76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 ht="15.75" customHeight="1">
      <c r="A321" s="57"/>
      <c r="B321" s="76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 ht="15.75" customHeight="1">
      <c r="A322" s="57"/>
      <c r="B322" s="76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 ht="15.75" customHeight="1">
      <c r="A323" s="57"/>
      <c r="B323" s="76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 ht="15.75" customHeight="1">
      <c r="A324" s="57"/>
      <c r="B324" s="76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 ht="15.75" customHeight="1">
      <c r="A325" s="57"/>
      <c r="B325" s="76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 ht="15.75" customHeight="1">
      <c r="A326" s="57"/>
      <c r="B326" s="76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 ht="15.75" customHeight="1">
      <c r="A327" s="57"/>
      <c r="B327" s="76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 ht="15.75" customHeight="1">
      <c r="A328" s="57"/>
      <c r="B328" s="76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 ht="15.75" customHeight="1">
      <c r="A329" s="57"/>
      <c r="B329" s="76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 ht="15.75" customHeight="1">
      <c r="A330" s="57"/>
      <c r="B330" s="76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 ht="15.75" customHeight="1">
      <c r="A331" s="57"/>
      <c r="B331" s="76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 ht="15.75" customHeight="1">
      <c r="A332" s="57"/>
      <c r="B332" s="76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 ht="15.75" customHeight="1">
      <c r="A333" s="57"/>
      <c r="B333" s="76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 ht="15.75" customHeight="1">
      <c r="A334" s="57"/>
      <c r="B334" s="76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 ht="15.75" customHeight="1">
      <c r="A335" s="57"/>
      <c r="B335" s="76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 ht="15.75" customHeight="1">
      <c r="A336" s="57"/>
      <c r="B336" s="76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 ht="15.75" customHeight="1">
      <c r="A337" s="57"/>
      <c r="B337" s="76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 ht="15.75" customHeight="1">
      <c r="A338" s="57"/>
      <c r="B338" s="76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 ht="15.75" customHeight="1">
      <c r="A339" s="57"/>
      <c r="B339" s="76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 ht="15.75" customHeight="1">
      <c r="A340" s="57"/>
      <c r="B340" s="76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 ht="15.75" customHeight="1">
      <c r="A341" s="57"/>
      <c r="B341" s="76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 ht="15.75" customHeight="1">
      <c r="A342" s="57"/>
      <c r="B342" s="76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 ht="15.75" customHeight="1">
      <c r="A343" s="57"/>
      <c r="B343" s="76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 ht="15.75" customHeight="1">
      <c r="A344" s="57"/>
      <c r="B344" s="76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 ht="15.75" customHeight="1">
      <c r="A345" s="57"/>
      <c r="B345" s="76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 ht="15.75" customHeight="1">
      <c r="A346" s="57"/>
      <c r="B346" s="76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 ht="15.75" customHeight="1">
      <c r="A347" s="57"/>
      <c r="B347" s="76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 ht="15.75" customHeight="1">
      <c r="A348" s="57"/>
      <c r="B348" s="76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 ht="15.75" customHeight="1">
      <c r="A349" s="57"/>
      <c r="B349" s="76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 ht="15.75" customHeight="1">
      <c r="A350" s="57"/>
      <c r="B350" s="76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 ht="15.75" customHeight="1">
      <c r="A351" s="57"/>
      <c r="B351" s="76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 ht="15.75" customHeight="1">
      <c r="A352" s="57"/>
      <c r="B352" s="76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 ht="15.75" customHeight="1">
      <c r="A353" s="57"/>
      <c r="B353" s="76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 ht="15.75" customHeight="1">
      <c r="A354" s="57"/>
      <c r="B354" s="76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 ht="15.75" customHeight="1">
      <c r="A355" s="57"/>
      <c r="B355" s="76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 ht="15.75" customHeight="1">
      <c r="A356" s="57"/>
      <c r="B356" s="76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 ht="15.75" customHeight="1">
      <c r="A357" s="57"/>
      <c r="B357" s="76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 ht="15.75" customHeight="1">
      <c r="A358" s="57"/>
      <c r="B358" s="76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 ht="15.75" customHeight="1">
      <c r="A359" s="57"/>
      <c r="B359" s="76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 ht="15.75" customHeight="1">
      <c r="A360" s="57"/>
      <c r="B360" s="76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 ht="15.75" customHeight="1">
      <c r="A361" s="57"/>
      <c r="B361" s="76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 ht="15.75" customHeight="1">
      <c r="A362" s="57"/>
      <c r="B362" s="76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 ht="15.75" customHeight="1">
      <c r="A363" s="57"/>
      <c r="B363" s="76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 ht="15.75" customHeight="1">
      <c r="A364" s="57"/>
      <c r="B364" s="76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 ht="15.75" customHeight="1">
      <c r="A365" s="57"/>
      <c r="B365" s="76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 ht="15.75" customHeight="1">
      <c r="A366" s="57"/>
      <c r="B366" s="76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 ht="15.75" customHeight="1">
      <c r="A367" s="57"/>
      <c r="B367" s="76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 ht="15.75" customHeight="1">
      <c r="A368" s="57"/>
      <c r="B368" s="76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 ht="15.75" customHeight="1">
      <c r="A369" s="57"/>
      <c r="B369" s="76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 ht="15.75" customHeight="1">
      <c r="A370" s="57"/>
      <c r="B370" s="76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 ht="15.75" customHeight="1">
      <c r="A371" s="57"/>
      <c r="B371" s="76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 ht="15.75" customHeight="1">
      <c r="A372" s="57"/>
      <c r="B372" s="76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 ht="15.75" customHeight="1">
      <c r="A373" s="57"/>
      <c r="B373" s="76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 ht="15.75" customHeight="1">
      <c r="A374" s="57"/>
      <c r="B374" s="76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 ht="15.75" customHeight="1">
      <c r="A375" s="57"/>
      <c r="B375" s="76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 ht="15.75" customHeight="1">
      <c r="A376" s="57"/>
      <c r="B376" s="76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 ht="15.75" customHeight="1">
      <c r="A377" s="57"/>
      <c r="B377" s="76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 ht="15.75" customHeight="1">
      <c r="A378" s="57"/>
      <c r="B378" s="76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 ht="15.75" customHeight="1">
      <c r="A379" s="57"/>
      <c r="B379" s="76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 ht="15.75" customHeight="1">
      <c r="A380" s="57"/>
      <c r="B380" s="76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 ht="15.75" customHeight="1">
      <c r="A381" s="57"/>
      <c r="B381" s="76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 ht="15.75" customHeight="1">
      <c r="A382" s="57"/>
      <c r="B382" s="76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 ht="15.75" customHeight="1">
      <c r="A383" s="57"/>
      <c r="B383" s="76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 ht="15.75" customHeight="1">
      <c r="A384" s="57"/>
      <c r="B384" s="76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 ht="15.75" customHeight="1">
      <c r="A385" s="57"/>
      <c r="B385" s="76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 ht="15.75" customHeight="1">
      <c r="A386" s="57"/>
      <c r="B386" s="76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 ht="15.75" customHeight="1">
      <c r="A387" s="57"/>
      <c r="B387" s="76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 ht="15.75" customHeight="1">
      <c r="A388" s="57"/>
      <c r="B388" s="76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 ht="15.75" customHeight="1">
      <c r="A389" s="57"/>
      <c r="B389" s="76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 ht="15.75" customHeight="1">
      <c r="A390" s="57"/>
      <c r="B390" s="76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 ht="15.75" customHeight="1">
      <c r="A391" s="57"/>
      <c r="B391" s="76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 ht="15.75" customHeight="1">
      <c r="A392" s="57"/>
      <c r="B392" s="76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 ht="15.75" customHeight="1">
      <c r="A393" s="57"/>
      <c r="B393" s="76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 ht="15.75" customHeight="1">
      <c r="A394" s="57"/>
      <c r="B394" s="76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 ht="15.75" customHeight="1">
      <c r="A395" s="57"/>
      <c r="B395" s="76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 ht="15.75" customHeight="1">
      <c r="A396" s="57"/>
      <c r="B396" s="76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 ht="15.75" customHeight="1">
      <c r="A397" s="57"/>
      <c r="B397" s="76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 ht="15.75" customHeight="1">
      <c r="A398" s="57"/>
      <c r="B398" s="76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 ht="15.75" customHeight="1">
      <c r="A399" s="57"/>
      <c r="B399" s="76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 ht="15.75" customHeight="1">
      <c r="A400" s="57"/>
      <c r="B400" s="76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 ht="15.75" customHeight="1">
      <c r="A401" s="57"/>
      <c r="B401" s="76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 ht="15.75" customHeight="1">
      <c r="A402" s="57"/>
      <c r="B402" s="76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 ht="15.75" customHeight="1">
      <c r="A403" s="57"/>
      <c r="B403" s="76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 ht="15.75" customHeight="1">
      <c r="A404" s="57"/>
      <c r="B404" s="76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 ht="15.75" customHeight="1">
      <c r="A405" s="57"/>
      <c r="B405" s="76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 ht="15.75" customHeight="1">
      <c r="A406" s="57"/>
      <c r="B406" s="76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 ht="15.75" customHeight="1">
      <c r="A407" s="57"/>
      <c r="B407" s="76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 ht="15.75" customHeight="1">
      <c r="A408" s="57"/>
      <c r="B408" s="76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 ht="15.75" customHeight="1">
      <c r="A409" s="57"/>
      <c r="B409" s="76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 ht="15.75" customHeight="1">
      <c r="A410" s="57"/>
      <c r="B410" s="76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 ht="15.75" customHeight="1">
      <c r="A411" s="57"/>
      <c r="B411" s="76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 ht="15.75" customHeight="1">
      <c r="A412" s="57"/>
      <c r="B412" s="76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 ht="15.75" customHeight="1">
      <c r="A413" s="57"/>
      <c r="B413" s="76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 ht="15.75" customHeight="1">
      <c r="A414" s="57"/>
      <c r="B414" s="76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 ht="15.75" customHeight="1">
      <c r="A415" s="57"/>
      <c r="B415" s="76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 ht="15.75" customHeight="1">
      <c r="A416" s="57"/>
      <c r="B416" s="76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 ht="15.75" customHeight="1">
      <c r="A417" s="57"/>
      <c r="B417" s="76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 ht="15.75" customHeight="1">
      <c r="A418" s="57"/>
      <c r="B418" s="76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 ht="15.75" customHeight="1">
      <c r="A419" s="57"/>
      <c r="B419" s="76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 ht="15.75" customHeight="1">
      <c r="A420" s="57"/>
      <c r="B420" s="76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 ht="15.75" customHeight="1">
      <c r="A421" s="57"/>
      <c r="B421" s="76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 ht="15.75" customHeight="1">
      <c r="A422" s="57"/>
      <c r="B422" s="76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 ht="15.75" customHeight="1">
      <c r="A423" s="57"/>
      <c r="B423" s="76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 ht="15.75" customHeight="1">
      <c r="A424" s="57"/>
      <c r="B424" s="76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 ht="15.75" customHeight="1">
      <c r="A425" s="57"/>
      <c r="B425" s="76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 ht="15.75" customHeight="1">
      <c r="A426" s="57"/>
      <c r="B426" s="76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 ht="15.75" customHeight="1">
      <c r="A427" s="57"/>
      <c r="B427" s="76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 ht="15.75" customHeight="1">
      <c r="A428" s="57"/>
      <c r="B428" s="76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 ht="15.75" customHeight="1">
      <c r="A429" s="57"/>
      <c r="B429" s="76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 ht="15.75" customHeight="1">
      <c r="A430" s="57"/>
      <c r="B430" s="76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 ht="15.75" customHeight="1">
      <c r="A431" s="57"/>
      <c r="B431" s="76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 ht="15.75" customHeight="1">
      <c r="A432" s="57"/>
      <c r="B432" s="76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 ht="15.75" customHeight="1">
      <c r="A433" s="57"/>
      <c r="B433" s="76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 ht="15.75" customHeight="1">
      <c r="A434" s="57"/>
      <c r="B434" s="76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 ht="15.75" customHeight="1">
      <c r="A435" s="57"/>
      <c r="B435" s="76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 ht="15.75" customHeight="1">
      <c r="A436" s="57"/>
      <c r="B436" s="76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 ht="15.75" customHeight="1">
      <c r="A437" s="57"/>
      <c r="B437" s="76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 ht="15.75" customHeight="1">
      <c r="A438" s="57"/>
      <c r="B438" s="76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 ht="15.75" customHeight="1">
      <c r="A439" s="57"/>
      <c r="B439" s="76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 ht="15.75" customHeight="1">
      <c r="A440" s="57"/>
      <c r="B440" s="76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 ht="15.75" customHeight="1">
      <c r="A441" s="57"/>
      <c r="B441" s="76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 ht="15.75" customHeight="1">
      <c r="A442" s="57"/>
      <c r="B442" s="76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 ht="15.75" customHeight="1">
      <c r="A443" s="57"/>
      <c r="B443" s="76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 ht="15.75" customHeight="1">
      <c r="A444" s="57"/>
      <c r="B444" s="76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 ht="15.75" customHeight="1">
      <c r="A445" s="57"/>
      <c r="B445" s="76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 ht="15.75" customHeight="1">
      <c r="A446" s="57"/>
      <c r="B446" s="76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 ht="15.75" customHeight="1">
      <c r="A447" s="57"/>
      <c r="B447" s="76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 ht="15.75" customHeight="1">
      <c r="A448" s="57"/>
      <c r="B448" s="76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 ht="15.75" customHeight="1">
      <c r="A449" s="57"/>
      <c r="B449" s="76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 ht="15.75" customHeight="1">
      <c r="A450" s="57"/>
      <c r="B450" s="76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 ht="15.75" customHeight="1">
      <c r="A451" s="57"/>
      <c r="B451" s="76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 ht="15.75" customHeight="1">
      <c r="A452" s="57"/>
      <c r="B452" s="76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 ht="15.75" customHeight="1">
      <c r="A453" s="57"/>
      <c r="B453" s="76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 ht="15.75" customHeight="1">
      <c r="A454" s="57"/>
      <c r="B454" s="76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 ht="15.75" customHeight="1">
      <c r="A455" s="57"/>
      <c r="B455" s="76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 ht="15.75" customHeight="1">
      <c r="A456" s="57"/>
      <c r="B456" s="76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 ht="15.75" customHeight="1">
      <c r="A457" s="57"/>
      <c r="B457" s="76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 ht="15.75" customHeight="1">
      <c r="A458" s="57"/>
      <c r="B458" s="76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 ht="15.75" customHeight="1">
      <c r="A459" s="57"/>
      <c r="B459" s="76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 ht="15.75" customHeight="1">
      <c r="A460" s="57"/>
      <c r="B460" s="76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 ht="15.75" customHeight="1">
      <c r="A461" s="57"/>
      <c r="B461" s="76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 ht="15.75" customHeight="1">
      <c r="A462" s="57"/>
      <c r="B462" s="76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 ht="15.75" customHeight="1">
      <c r="A463" s="57"/>
      <c r="B463" s="76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 ht="15.75" customHeight="1">
      <c r="A464" s="57"/>
      <c r="B464" s="76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 ht="15.75" customHeight="1">
      <c r="A465" s="57"/>
      <c r="B465" s="76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 ht="15.75" customHeight="1">
      <c r="A466" s="57"/>
      <c r="B466" s="76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 ht="15.75" customHeight="1">
      <c r="A467" s="57"/>
      <c r="B467" s="76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 ht="15.75" customHeight="1">
      <c r="A468" s="57"/>
      <c r="B468" s="76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 ht="15.75" customHeight="1">
      <c r="A469" s="57"/>
      <c r="B469" s="76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 ht="15.75" customHeight="1">
      <c r="A470" s="57"/>
      <c r="B470" s="76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 ht="15.75" customHeight="1">
      <c r="A471" s="57"/>
      <c r="B471" s="76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 ht="15.75" customHeight="1">
      <c r="A472" s="57"/>
      <c r="B472" s="76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 ht="15.75" customHeight="1">
      <c r="A473" s="57"/>
      <c r="B473" s="76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 ht="15.75" customHeight="1">
      <c r="A474" s="57"/>
      <c r="B474" s="76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 ht="15.75" customHeight="1">
      <c r="A475" s="57"/>
      <c r="B475" s="76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 ht="15.75" customHeight="1">
      <c r="A476" s="57"/>
      <c r="B476" s="76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 ht="15.75" customHeight="1">
      <c r="A477" s="57"/>
      <c r="B477" s="76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 ht="15.75" customHeight="1">
      <c r="A478" s="57"/>
      <c r="B478" s="76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 ht="15.75" customHeight="1">
      <c r="A479" s="57"/>
      <c r="B479" s="76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 ht="15.75" customHeight="1">
      <c r="A480" s="57"/>
      <c r="B480" s="76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 ht="15.75" customHeight="1">
      <c r="A481" s="57"/>
      <c r="B481" s="76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 ht="15.75" customHeight="1">
      <c r="A482" s="57"/>
      <c r="B482" s="76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 ht="15.75" customHeight="1">
      <c r="A483" s="57"/>
      <c r="B483" s="76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 ht="15.75" customHeight="1">
      <c r="A484" s="57"/>
      <c r="B484" s="76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 ht="15.75" customHeight="1">
      <c r="A485" s="57"/>
      <c r="B485" s="76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 ht="15.75" customHeight="1">
      <c r="A486" s="57"/>
      <c r="B486" s="76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 ht="15.75" customHeight="1">
      <c r="A487" s="57"/>
      <c r="B487" s="76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 ht="15.75" customHeight="1">
      <c r="A488" s="57"/>
      <c r="B488" s="76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 ht="15.75" customHeight="1">
      <c r="A489" s="57"/>
      <c r="B489" s="76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 ht="15.75" customHeight="1">
      <c r="A490" s="57"/>
      <c r="B490" s="76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 ht="15.75" customHeight="1">
      <c r="A491" s="57"/>
      <c r="B491" s="76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 ht="15.75" customHeight="1">
      <c r="A492" s="57"/>
      <c r="B492" s="76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 ht="15.75" customHeight="1">
      <c r="A493" s="57"/>
      <c r="B493" s="76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 ht="15.75" customHeight="1">
      <c r="A494" s="57"/>
      <c r="B494" s="76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 ht="15.75" customHeight="1">
      <c r="A495" s="57"/>
      <c r="B495" s="76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 ht="15.75" customHeight="1">
      <c r="A496" s="57"/>
      <c r="B496" s="76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 ht="15.75" customHeight="1">
      <c r="A497" s="57"/>
      <c r="B497" s="76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 ht="15.75" customHeight="1">
      <c r="A498" s="57"/>
      <c r="B498" s="76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 ht="15.75" customHeight="1">
      <c r="A499" s="57"/>
      <c r="B499" s="76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 ht="15.75" customHeight="1">
      <c r="A500" s="57"/>
      <c r="B500" s="76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 ht="15.75" customHeight="1">
      <c r="A501" s="57"/>
      <c r="B501" s="76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 ht="15.75" customHeight="1">
      <c r="A502" s="57"/>
      <c r="B502" s="76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 ht="15.75" customHeight="1">
      <c r="A503" s="57"/>
      <c r="B503" s="76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 ht="15.75" customHeight="1">
      <c r="A504" s="57"/>
      <c r="B504" s="76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 ht="15.75" customHeight="1">
      <c r="A505" s="57"/>
      <c r="B505" s="76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 ht="15.75" customHeight="1">
      <c r="A506" s="57"/>
      <c r="B506" s="76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 ht="15.75" customHeight="1">
      <c r="A507" s="57"/>
      <c r="B507" s="76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 ht="15.75" customHeight="1">
      <c r="A508" s="57"/>
      <c r="B508" s="76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 ht="15.75" customHeight="1">
      <c r="A509" s="57"/>
      <c r="B509" s="76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 ht="15.75" customHeight="1">
      <c r="A510" s="57"/>
      <c r="B510" s="76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 ht="15.75" customHeight="1">
      <c r="A511" s="57"/>
      <c r="B511" s="76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 ht="15.75" customHeight="1">
      <c r="A512" s="57"/>
      <c r="B512" s="76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 ht="15.75" customHeight="1">
      <c r="A513" s="57"/>
      <c r="B513" s="76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 ht="15.75" customHeight="1">
      <c r="A514" s="57"/>
      <c r="B514" s="76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 ht="15.75" customHeight="1">
      <c r="A515" s="57"/>
      <c r="B515" s="76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 ht="15.75" customHeight="1">
      <c r="A516" s="57"/>
      <c r="B516" s="76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 ht="15.75" customHeight="1">
      <c r="A517" s="57"/>
      <c r="B517" s="76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 ht="15.75" customHeight="1">
      <c r="A518" s="57"/>
      <c r="B518" s="76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 ht="15.75" customHeight="1">
      <c r="A519" s="57"/>
      <c r="B519" s="76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 ht="15.75" customHeight="1">
      <c r="A520" s="57"/>
      <c r="B520" s="76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 ht="15.75" customHeight="1">
      <c r="A521" s="57"/>
      <c r="B521" s="76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 ht="15.75" customHeight="1">
      <c r="A522" s="57"/>
      <c r="B522" s="76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 ht="15.75" customHeight="1">
      <c r="A523" s="57"/>
      <c r="B523" s="76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 ht="15.75" customHeight="1">
      <c r="A524" s="57"/>
      <c r="B524" s="76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 ht="15.75" customHeight="1">
      <c r="A525" s="57"/>
      <c r="B525" s="76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 ht="15.75" customHeight="1">
      <c r="A526" s="57"/>
      <c r="B526" s="76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 ht="15.75" customHeight="1">
      <c r="A527" s="57"/>
      <c r="B527" s="76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 ht="15.75" customHeight="1">
      <c r="A528" s="57"/>
      <c r="B528" s="76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 ht="15.75" customHeight="1">
      <c r="A529" s="57"/>
      <c r="B529" s="76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 ht="15.75" customHeight="1">
      <c r="A530" s="57"/>
      <c r="B530" s="76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 ht="15.75" customHeight="1">
      <c r="A531" s="57"/>
      <c r="B531" s="76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 ht="15.75" customHeight="1">
      <c r="A532" s="57"/>
      <c r="B532" s="76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 ht="15.75" customHeight="1">
      <c r="A533" s="57"/>
      <c r="B533" s="76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 ht="15.75" customHeight="1">
      <c r="A534" s="57"/>
      <c r="B534" s="76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 ht="15.75" customHeight="1">
      <c r="A535" s="57"/>
      <c r="B535" s="76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 ht="15.75" customHeight="1">
      <c r="A536" s="57"/>
      <c r="B536" s="76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 ht="15.75" customHeight="1">
      <c r="A537" s="57"/>
      <c r="B537" s="76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 ht="15.75" customHeight="1">
      <c r="A538" s="57"/>
      <c r="B538" s="76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 ht="15.75" customHeight="1">
      <c r="A539" s="57"/>
      <c r="B539" s="76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 ht="15.75" customHeight="1">
      <c r="A540" s="57"/>
      <c r="B540" s="76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 ht="15.75" customHeight="1">
      <c r="A541" s="57"/>
      <c r="B541" s="76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 ht="15.75" customHeight="1">
      <c r="A542" s="57"/>
      <c r="B542" s="76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 ht="15.75" customHeight="1">
      <c r="A543" s="57"/>
      <c r="B543" s="76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 ht="15.75" customHeight="1">
      <c r="A544" s="57"/>
      <c r="B544" s="76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 ht="15.75" customHeight="1">
      <c r="A545" s="57"/>
      <c r="B545" s="76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 ht="15.75" customHeight="1">
      <c r="A546" s="57"/>
      <c r="B546" s="76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 ht="15.75" customHeight="1">
      <c r="A547" s="57"/>
      <c r="B547" s="76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 ht="15.75" customHeight="1">
      <c r="A548" s="57"/>
      <c r="B548" s="76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 ht="15.75" customHeight="1">
      <c r="A549" s="57"/>
      <c r="B549" s="76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 ht="15.75" customHeight="1">
      <c r="A550" s="57"/>
      <c r="B550" s="76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 ht="15.75" customHeight="1">
      <c r="A551" s="57"/>
      <c r="B551" s="76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 ht="15.75" customHeight="1">
      <c r="A552" s="57"/>
      <c r="B552" s="76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 ht="15.75" customHeight="1">
      <c r="A553" s="57"/>
      <c r="B553" s="76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 ht="15.75" customHeight="1">
      <c r="A554" s="57"/>
      <c r="B554" s="76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 ht="15.75" customHeight="1">
      <c r="A555" s="57"/>
      <c r="B555" s="76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 ht="15.75" customHeight="1">
      <c r="A556" s="57"/>
      <c r="B556" s="76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 ht="15.75" customHeight="1">
      <c r="A557" s="57"/>
      <c r="B557" s="76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 ht="15.75" customHeight="1">
      <c r="A558" s="57"/>
      <c r="B558" s="76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 ht="15.75" customHeight="1">
      <c r="A559" s="57"/>
      <c r="B559" s="76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 ht="15.75" customHeight="1">
      <c r="A560" s="57"/>
      <c r="B560" s="76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 ht="15.75" customHeight="1">
      <c r="A561" s="57"/>
      <c r="B561" s="76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 ht="15.75" customHeight="1">
      <c r="A562" s="57"/>
      <c r="B562" s="76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 ht="15.75" customHeight="1">
      <c r="A563" s="57"/>
      <c r="B563" s="76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 ht="15.75" customHeight="1">
      <c r="A564" s="57"/>
      <c r="B564" s="76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 ht="15.75" customHeight="1">
      <c r="A565" s="57"/>
      <c r="B565" s="76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 ht="15.75" customHeight="1">
      <c r="A566" s="57"/>
      <c r="B566" s="76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 ht="15.75" customHeight="1">
      <c r="A567" s="57"/>
      <c r="B567" s="76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 ht="15.75" customHeight="1">
      <c r="A568" s="57"/>
      <c r="B568" s="76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 ht="15.75" customHeight="1">
      <c r="A569" s="57"/>
      <c r="B569" s="76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 ht="15.75" customHeight="1">
      <c r="A570" s="57"/>
      <c r="B570" s="76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 ht="15.75" customHeight="1">
      <c r="A571" s="57"/>
      <c r="B571" s="76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 ht="15.75" customHeight="1">
      <c r="A572" s="57"/>
      <c r="B572" s="76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 ht="15.75" customHeight="1">
      <c r="A573" s="57"/>
      <c r="B573" s="76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 ht="15.75" customHeight="1">
      <c r="A574" s="57"/>
      <c r="B574" s="76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 ht="15.75" customHeight="1">
      <c r="A575" s="57"/>
      <c r="B575" s="76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 ht="15.75" customHeight="1">
      <c r="A576" s="57"/>
      <c r="B576" s="76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 ht="15.75" customHeight="1">
      <c r="A577" s="57"/>
      <c r="B577" s="76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 ht="15.75" customHeight="1">
      <c r="A578" s="57"/>
      <c r="B578" s="76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 ht="15.75" customHeight="1">
      <c r="A579" s="57"/>
      <c r="B579" s="76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 ht="15.75" customHeight="1">
      <c r="A580" s="57"/>
      <c r="B580" s="76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 ht="15.75" customHeight="1">
      <c r="A581" s="57"/>
      <c r="B581" s="76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 ht="15.75" customHeight="1">
      <c r="A582" s="57"/>
      <c r="B582" s="76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 ht="15.75" customHeight="1">
      <c r="A583" s="57"/>
      <c r="B583" s="76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 ht="15.75" customHeight="1">
      <c r="A584" s="57"/>
      <c r="B584" s="76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 ht="15.75" customHeight="1">
      <c r="A585" s="57"/>
      <c r="B585" s="76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 ht="15.75" customHeight="1">
      <c r="A586" s="57"/>
      <c r="B586" s="76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 ht="15.75" customHeight="1">
      <c r="A587" s="57"/>
      <c r="B587" s="76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 ht="15.75" customHeight="1">
      <c r="A588" s="57"/>
      <c r="B588" s="76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 ht="15.75" customHeight="1">
      <c r="A589" s="57"/>
      <c r="B589" s="76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 ht="15.75" customHeight="1">
      <c r="A590" s="57"/>
      <c r="B590" s="76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 ht="15.75" customHeight="1">
      <c r="A591" s="57"/>
      <c r="B591" s="76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 ht="15.75" customHeight="1">
      <c r="A592" s="57"/>
      <c r="B592" s="76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 ht="15.75" customHeight="1">
      <c r="A593" s="57"/>
      <c r="B593" s="76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 ht="15.75" customHeight="1">
      <c r="A594" s="57"/>
      <c r="B594" s="76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 ht="15.75" customHeight="1">
      <c r="A595" s="57"/>
      <c r="B595" s="76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 ht="15.75" customHeight="1">
      <c r="A596" s="57"/>
      <c r="B596" s="76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 ht="15.75" customHeight="1">
      <c r="A597" s="57"/>
      <c r="B597" s="76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 ht="15.75" customHeight="1">
      <c r="A598" s="57"/>
      <c r="B598" s="76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 ht="15.75" customHeight="1">
      <c r="A599" s="57"/>
      <c r="B599" s="76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 ht="15.75" customHeight="1">
      <c r="A600" s="57"/>
      <c r="B600" s="76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 ht="15.75" customHeight="1">
      <c r="A601" s="57"/>
      <c r="B601" s="76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 ht="15.75" customHeight="1">
      <c r="A602" s="57"/>
      <c r="B602" s="76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 ht="15.75" customHeight="1">
      <c r="A603" s="57"/>
      <c r="B603" s="76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 ht="15.75" customHeight="1">
      <c r="A604" s="57"/>
      <c r="B604" s="76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 ht="15.75" customHeight="1">
      <c r="A605" s="57"/>
      <c r="B605" s="76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 ht="15.75" customHeight="1">
      <c r="A606" s="57"/>
      <c r="B606" s="76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 ht="15.75" customHeight="1">
      <c r="A607" s="57"/>
      <c r="B607" s="76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 ht="15.75" customHeight="1">
      <c r="A608" s="57"/>
      <c r="B608" s="76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 ht="15.75" customHeight="1">
      <c r="A609" s="57"/>
      <c r="B609" s="76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 ht="15.75" customHeight="1">
      <c r="A610" s="57"/>
      <c r="B610" s="76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 ht="15.75" customHeight="1">
      <c r="A611" s="57"/>
      <c r="B611" s="76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 ht="15.75" customHeight="1">
      <c r="A612" s="57"/>
      <c r="B612" s="76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 ht="15.75" customHeight="1">
      <c r="A613" s="57"/>
      <c r="B613" s="76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 ht="15.75" customHeight="1">
      <c r="A614" s="57"/>
      <c r="B614" s="76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 ht="15.75" customHeight="1">
      <c r="A615" s="57"/>
      <c r="B615" s="76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 ht="15.75" customHeight="1">
      <c r="A616" s="57"/>
      <c r="B616" s="76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 ht="15.75" customHeight="1">
      <c r="A617" s="57"/>
      <c r="B617" s="76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 ht="15.75" customHeight="1">
      <c r="A618" s="57"/>
      <c r="B618" s="76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 ht="15.75" customHeight="1">
      <c r="A619" s="57"/>
      <c r="B619" s="76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 ht="15.75" customHeight="1">
      <c r="A620" s="57"/>
      <c r="B620" s="76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 ht="15.75" customHeight="1">
      <c r="A621" s="57"/>
      <c r="B621" s="76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 ht="15.75" customHeight="1">
      <c r="A622" s="57"/>
      <c r="B622" s="76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 ht="15.75" customHeight="1">
      <c r="A623" s="57"/>
      <c r="B623" s="76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 ht="15.75" customHeight="1">
      <c r="A624" s="57"/>
      <c r="B624" s="76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 ht="15.75" customHeight="1">
      <c r="A625" s="57"/>
      <c r="B625" s="76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 ht="15.75" customHeight="1">
      <c r="A626" s="57"/>
      <c r="B626" s="76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 ht="15.75" customHeight="1">
      <c r="A627" s="57"/>
      <c r="B627" s="76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 ht="15.75" customHeight="1">
      <c r="A628" s="57"/>
      <c r="B628" s="76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 ht="15.75" customHeight="1">
      <c r="A629" s="57"/>
      <c r="B629" s="76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 ht="15.75" customHeight="1">
      <c r="A630" s="57"/>
      <c r="B630" s="76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 ht="15.75" customHeight="1">
      <c r="A631" s="57"/>
      <c r="B631" s="76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 ht="15.75" customHeight="1">
      <c r="A632" s="57"/>
      <c r="B632" s="76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 ht="15.75" customHeight="1">
      <c r="A633" s="57"/>
      <c r="B633" s="76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 ht="15.75" customHeight="1">
      <c r="A634" s="57"/>
      <c r="B634" s="76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 ht="15.75" customHeight="1">
      <c r="A635" s="57"/>
      <c r="B635" s="76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 ht="15.75" customHeight="1">
      <c r="A636" s="57"/>
      <c r="B636" s="76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 ht="15.75" customHeight="1">
      <c r="A637" s="57"/>
      <c r="B637" s="76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 ht="15.75" customHeight="1">
      <c r="A638" s="57"/>
      <c r="B638" s="76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 ht="15.75" customHeight="1">
      <c r="A639" s="57"/>
      <c r="B639" s="76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 ht="15.75" customHeight="1">
      <c r="A640" s="57"/>
      <c r="B640" s="76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 ht="15.75" customHeight="1">
      <c r="A641" s="57"/>
      <c r="B641" s="76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 ht="15.75" customHeight="1">
      <c r="A642" s="57"/>
      <c r="B642" s="76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 ht="15.75" customHeight="1">
      <c r="A643" s="57"/>
      <c r="B643" s="76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 ht="15.75" customHeight="1">
      <c r="A644" s="57"/>
      <c r="B644" s="76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 ht="15.75" customHeight="1">
      <c r="A645" s="57"/>
      <c r="B645" s="76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 ht="15.75" customHeight="1">
      <c r="A646" s="57"/>
      <c r="B646" s="76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 ht="15.75" customHeight="1">
      <c r="A647" s="57"/>
      <c r="B647" s="76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 ht="15.75" customHeight="1">
      <c r="A648" s="57"/>
      <c r="B648" s="76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 ht="15.75" customHeight="1">
      <c r="A649" s="57"/>
      <c r="B649" s="76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 ht="15.75" customHeight="1">
      <c r="A650" s="57"/>
      <c r="B650" s="76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 ht="15.75" customHeight="1">
      <c r="A651" s="57"/>
      <c r="B651" s="76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 ht="15.75" customHeight="1">
      <c r="A652" s="57"/>
      <c r="B652" s="76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 ht="15.75" customHeight="1">
      <c r="A653" s="57"/>
      <c r="B653" s="76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 ht="15.75" customHeight="1">
      <c r="A654" s="57"/>
      <c r="B654" s="76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 ht="15.75" customHeight="1">
      <c r="A655" s="57"/>
      <c r="B655" s="76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 ht="15.75" customHeight="1">
      <c r="A656" s="57"/>
      <c r="B656" s="76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 ht="15.75" customHeight="1">
      <c r="A657" s="57"/>
      <c r="B657" s="76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 ht="15.75" customHeight="1">
      <c r="A658" s="57"/>
      <c r="B658" s="76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 ht="15.75" customHeight="1">
      <c r="A659" s="57"/>
      <c r="B659" s="76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 ht="15.75" customHeight="1">
      <c r="A660" s="57"/>
      <c r="B660" s="76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 ht="15.75" customHeight="1">
      <c r="A661" s="57"/>
      <c r="B661" s="76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 ht="15.75" customHeight="1">
      <c r="A662" s="57"/>
      <c r="B662" s="76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 ht="15.75" customHeight="1">
      <c r="A663" s="57"/>
      <c r="B663" s="76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 ht="15.75" customHeight="1">
      <c r="A664" s="57"/>
      <c r="B664" s="76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 ht="15.75" customHeight="1">
      <c r="A665" s="57"/>
      <c r="B665" s="76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 ht="15.75" customHeight="1">
      <c r="A666" s="57"/>
      <c r="B666" s="76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 ht="15.75" customHeight="1">
      <c r="A667" s="57"/>
      <c r="B667" s="76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 ht="15.75" customHeight="1">
      <c r="A668" s="57"/>
      <c r="B668" s="76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 ht="15.75" customHeight="1">
      <c r="A669" s="57"/>
      <c r="B669" s="76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 ht="15.75" customHeight="1">
      <c r="A670" s="57"/>
      <c r="B670" s="76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 ht="15.75" customHeight="1">
      <c r="A671" s="57"/>
      <c r="B671" s="76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 ht="15.75" customHeight="1">
      <c r="A672" s="57"/>
      <c r="B672" s="76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 ht="15.75" customHeight="1">
      <c r="A673" s="57"/>
      <c r="B673" s="76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 ht="15.75" customHeight="1">
      <c r="A674" s="57"/>
      <c r="B674" s="76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 ht="15.75" customHeight="1">
      <c r="A675" s="57"/>
      <c r="B675" s="76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 ht="15.75" customHeight="1">
      <c r="A676" s="57"/>
      <c r="B676" s="76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 ht="15.75" customHeight="1">
      <c r="A677" s="57"/>
      <c r="B677" s="76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 ht="15.75" customHeight="1">
      <c r="A678" s="57"/>
      <c r="B678" s="76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 ht="15.75" customHeight="1">
      <c r="A679" s="57"/>
      <c r="B679" s="76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 ht="15.75" customHeight="1">
      <c r="A680" s="57"/>
      <c r="B680" s="76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 ht="15.75" customHeight="1">
      <c r="A681" s="57"/>
      <c r="B681" s="76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 ht="15.75" customHeight="1">
      <c r="A682" s="57"/>
      <c r="B682" s="76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 ht="15.75" customHeight="1">
      <c r="A683" s="57"/>
      <c r="B683" s="76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 ht="15.75" customHeight="1">
      <c r="A684" s="57"/>
      <c r="B684" s="76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 ht="15.75" customHeight="1">
      <c r="A685" s="57"/>
      <c r="B685" s="76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 ht="15.75" customHeight="1">
      <c r="A686" s="57"/>
      <c r="B686" s="76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 ht="15.75" customHeight="1">
      <c r="A687" s="57"/>
      <c r="B687" s="76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 ht="15.75" customHeight="1">
      <c r="A688" s="57"/>
      <c r="B688" s="76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 ht="15.75" customHeight="1">
      <c r="A689" s="57"/>
      <c r="B689" s="76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 ht="15.75" customHeight="1">
      <c r="A690" s="57"/>
      <c r="B690" s="76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 ht="15.75" customHeight="1">
      <c r="A691" s="57"/>
      <c r="B691" s="76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 ht="15.75" customHeight="1">
      <c r="A692" s="57"/>
      <c r="B692" s="76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 ht="15.75" customHeight="1">
      <c r="A693" s="57"/>
      <c r="B693" s="76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 ht="15.75" customHeight="1">
      <c r="A694" s="57"/>
      <c r="B694" s="76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 ht="15.75" customHeight="1">
      <c r="A695" s="57"/>
      <c r="B695" s="76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 ht="15.75" customHeight="1">
      <c r="A696" s="57"/>
      <c r="B696" s="76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 ht="15.75" customHeight="1">
      <c r="A697" s="57"/>
      <c r="B697" s="76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 ht="15.75" customHeight="1">
      <c r="A698" s="57"/>
      <c r="B698" s="76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 ht="15.75" customHeight="1">
      <c r="A699" s="57"/>
      <c r="B699" s="76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 ht="15.75" customHeight="1">
      <c r="A700" s="57"/>
      <c r="B700" s="76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 ht="15.75" customHeight="1">
      <c r="A701" s="57"/>
      <c r="B701" s="76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 ht="15.75" customHeight="1">
      <c r="A702" s="57"/>
      <c r="B702" s="76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 ht="15.75" customHeight="1">
      <c r="A703" s="57"/>
      <c r="B703" s="76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 ht="15.75" customHeight="1">
      <c r="A704" s="57"/>
      <c r="B704" s="76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 ht="15.75" customHeight="1">
      <c r="A705" s="57"/>
      <c r="B705" s="76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 ht="15.75" customHeight="1">
      <c r="A706" s="57"/>
      <c r="B706" s="76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 ht="15.75" customHeight="1">
      <c r="A707" s="57"/>
      <c r="B707" s="76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 ht="15.75" customHeight="1">
      <c r="A708" s="57"/>
      <c r="B708" s="76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 ht="15.75" customHeight="1">
      <c r="A709" s="57"/>
      <c r="B709" s="76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 ht="15.75" customHeight="1">
      <c r="A710" s="57"/>
      <c r="B710" s="76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 ht="15.75" customHeight="1">
      <c r="A711" s="57"/>
      <c r="B711" s="76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 ht="15.75" customHeight="1">
      <c r="A712" s="57"/>
      <c r="B712" s="76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 ht="15.75" customHeight="1">
      <c r="A713" s="57"/>
      <c r="B713" s="76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 ht="15.75" customHeight="1">
      <c r="A714" s="57"/>
      <c r="B714" s="76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 ht="15.75" customHeight="1">
      <c r="A715" s="57"/>
      <c r="B715" s="76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 ht="15.75" customHeight="1">
      <c r="A716" s="57"/>
      <c r="B716" s="76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 ht="15.75" customHeight="1">
      <c r="A717" s="57"/>
      <c r="B717" s="76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 ht="15.75" customHeight="1">
      <c r="A718" s="57"/>
      <c r="B718" s="76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 ht="15.75" customHeight="1">
      <c r="A719" s="57"/>
      <c r="B719" s="76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 ht="15.75" customHeight="1">
      <c r="A720" s="57"/>
      <c r="B720" s="76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 ht="15.75" customHeight="1">
      <c r="A721" s="57"/>
      <c r="B721" s="76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 ht="15.75" customHeight="1">
      <c r="A722" s="57"/>
      <c r="B722" s="76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 ht="15.75" customHeight="1">
      <c r="A723" s="57"/>
      <c r="B723" s="76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 ht="15.75" customHeight="1">
      <c r="A724" s="57"/>
      <c r="B724" s="76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 ht="15.75" customHeight="1">
      <c r="A725" s="57"/>
      <c r="B725" s="76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 ht="15.75" customHeight="1">
      <c r="A726" s="57"/>
      <c r="B726" s="76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 ht="15.75" customHeight="1">
      <c r="A727" s="57"/>
      <c r="B727" s="76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 ht="15.75" customHeight="1">
      <c r="A728" s="57"/>
      <c r="B728" s="76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 ht="15.75" customHeight="1">
      <c r="A729" s="57"/>
      <c r="B729" s="76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 ht="15.75" customHeight="1">
      <c r="A730" s="57"/>
      <c r="B730" s="76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 ht="15.75" customHeight="1">
      <c r="A731" s="57"/>
      <c r="B731" s="76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 ht="15.75" customHeight="1">
      <c r="A732" s="57"/>
      <c r="B732" s="76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 ht="15.75" customHeight="1">
      <c r="A733" s="57"/>
      <c r="B733" s="76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 ht="15.75" customHeight="1">
      <c r="A734" s="57"/>
      <c r="B734" s="76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 ht="15.75" customHeight="1">
      <c r="A735" s="57"/>
      <c r="B735" s="76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 ht="15.75" customHeight="1">
      <c r="A736" s="57"/>
      <c r="B736" s="76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 ht="15.75" customHeight="1">
      <c r="A737" s="57"/>
      <c r="B737" s="76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 ht="15.75" customHeight="1">
      <c r="A738" s="57"/>
      <c r="B738" s="76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 ht="15.75" customHeight="1">
      <c r="A739" s="57"/>
      <c r="B739" s="76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 ht="15.75" customHeight="1">
      <c r="A740" s="57"/>
      <c r="B740" s="76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 ht="15.75" customHeight="1">
      <c r="A741" s="57"/>
      <c r="B741" s="76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 ht="15.75" customHeight="1">
      <c r="A742" s="57"/>
      <c r="B742" s="76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 ht="15.75" customHeight="1">
      <c r="A743" s="57"/>
      <c r="B743" s="76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 ht="15.75" customHeight="1">
      <c r="A744" s="57"/>
      <c r="B744" s="76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 ht="15.75" customHeight="1">
      <c r="A745" s="57"/>
      <c r="B745" s="76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 ht="15.75" customHeight="1">
      <c r="A746" s="57"/>
      <c r="B746" s="76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 ht="15.75" customHeight="1">
      <c r="A747" s="57"/>
      <c r="B747" s="76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 ht="15.75" customHeight="1">
      <c r="A748" s="57"/>
      <c r="B748" s="76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 ht="15.75" customHeight="1">
      <c r="A749" s="57"/>
      <c r="B749" s="76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 ht="15.75" customHeight="1">
      <c r="A750" s="57"/>
      <c r="B750" s="76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 ht="15.75" customHeight="1">
      <c r="A751" s="57"/>
      <c r="B751" s="76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 ht="15.75" customHeight="1">
      <c r="A752" s="57"/>
      <c r="B752" s="76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 ht="15.75" customHeight="1">
      <c r="A753" s="57"/>
      <c r="B753" s="76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 ht="15.75" customHeight="1">
      <c r="A754" s="57"/>
      <c r="B754" s="76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 ht="15.75" customHeight="1">
      <c r="A755" s="57"/>
      <c r="B755" s="76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 ht="15.75" customHeight="1">
      <c r="A756" s="57"/>
      <c r="B756" s="76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 ht="15.75" customHeight="1">
      <c r="A757" s="57"/>
      <c r="B757" s="76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 ht="15.75" customHeight="1">
      <c r="A758" s="57"/>
      <c r="B758" s="76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 ht="15.75" customHeight="1">
      <c r="A759" s="57"/>
      <c r="B759" s="76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 ht="15.75" customHeight="1">
      <c r="A760" s="57"/>
      <c r="B760" s="76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 ht="15.75" customHeight="1">
      <c r="A761" s="57"/>
      <c r="B761" s="76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 ht="15.75" customHeight="1">
      <c r="A762" s="57"/>
      <c r="B762" s="76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 ht="15.75" customHeight="1">
      <c r="A763" s="57"/>
      <c r="B763" s="76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 ht="15.75" customHeight="1">
      <c r="A764" s="57"/>
      <c r="B764" s="76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 ht="15.75" customHeight="1">
      <c r="A765" s="57"/>
      <c r="B765" s="76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 ht="15.75" customHeight="1">
      <c r="A766" s="57"/>
      <c r="B766" s="76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 ht="15.75" customHeight="1">
      <c r="A767" s="57"/>
      <c r="B767" s="76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 ht="15.75" customHeight="1">
      <c r="A768" s="57"/>
      <c r="B768" s="76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 ht="15.75" customHeight="1">
      <c r="A769" s="57"/>
      <c r="B769" s="76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 ht="15.75" customHeight="1">
      <c r="A770" s="57"/>
      <c r="B770" s="76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 ht="15.75" customHeight="1">
      <c r="A771" s="57"/>
      <c r="B771" s="76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 ht="15.75" customHeight="1">
      <c r="A772" s="57"/>
      <c r="B772" s="76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 ht="15.75" customHeight="1">
      <c r="A773" s="57"/>
      <c r="B773" s="76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 ht="15.75" customHeight="1">
      <c r="A774" s="57"/>
      <c r="B774" s="76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 ht="15.75" customHeight="1">
      <c r="A775" s="57"/>
      <c r="B775" s="76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 ht="15.75" customHeight="1">
      <c r="A776" s="57"/>
      <c r="B776" s="76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 ht="15.75" customHeight="1">
      <c r="A777" s="57"/>
      <c r="B777" s="76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 ht="15.75" customHeight="1">
      <c r="A778" s="57"/>
      <c r="B778" s="76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 ht="15.75" customHeight="1">
      <c r="A779" s="57"/>
      <c r="B779" s="76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 ht="15.75" customHeight="1">
      <c r="A780" s="57"/>
      <c r="B780" s="76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 ht="15.75" customHeight="1">
      <c r="A781" s="57"/>
      <c r="B781" s="76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 ht="15.75" customHeight="1">
      <c r="A782" s="57"/>
      <c r="B782" s="76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 ht="15.75" customHeight="1">
      <c r="A783" s="57"/>
      <c r="B783" s="76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 ht="15.75" customHeight="1">
      <c r="A784" s="57"/>
      <c r="B784" s="76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 ht="15.75" customHeight="1">
      <c r="A785" s="57"/>
      <c r="B785" s="76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 ht="15.75" customHeight="1">
      <c r="A786" s="57"/>
      <c r="B786" s="76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 ht="15.75" customHeight="1">
      <c r="A787" s="57"/>
      <c r="B787" s="76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 ht="15.75" customHeight="1">
      <c r="A788" s="57"/>
      <c r="B788" s="76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 ht="15.75" customHeight="1">
      <c r="A789" s="57"/>
      <c r="B789" s="76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 ht="15.75" customHeight="1">
      <c r="A790" s="57"/>
      <c r="B790" s="76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 ht="15.75" customHeight="1">
      <c r="A791" s="57"/>
      <c r="B791" s="76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 ht="15.75" customHeight="1">
      <c r="A792" s="57"/>
      <c r="B792" s="76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 ht="15.75" customHeight="1">
      <c r="A793" s="57"/>
      <c r="B793" s="76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 ht="15.75" customHeight="1">
      <c r="A794" s="57"/>
      <c r="B794" s="76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 ht="15.75" customHeight="1">
      <c r="A795" s="57"/>
      <c r="B795" s="76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 ht="15.75" customHeight="1">
      <c r="A796" s="57"/>
      <c r="B796" s="76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 ht="15.75" customHeight="1">
      <c r="A797" s="57"/>
      <c r="B797" s="76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 ht="15.75" customHeight="1">
      <c r="A798" s="57"/>
      <c r="B798" s="76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 ht="15.75" customHeight="1">
      <c r="A799" s="57"/>
      <c r="B799" s="76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 ht="15.75" customHeight="1">
      <c r="A800" s="57"/>
      <c r="B800" s="76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 ht="15.75" customHeight="1">
      <c r="A801" s="57"/>
      <c r="B801" s="76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 ht="15.75" customHeight="1">
      <c r="A802" s="57"/>
      <c r="B802" s="76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 ht="15.75" customHeight="1">
      <c r="A803" s="57"/>
      <c r="B803" s="76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 ht="15.75" customHeight="1">
      <c r="A804" s="57"/>
      <c r="B804" s="76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 ht="15.75" customHeight="1">
      <c r="A805" s="57"/>
      <c r="B805" s="76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 ht="15.75" customHeight="1">
      <c r="A806" s="57"/>
      <c r="B806" s="76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 ht="15.75" customHeight="1">
      <c r="A807" s="57"/>
      <c r="B807" s="76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 ht="15.75" customHeight="1">
      <c r="A808" s="57"/>
      <c r="B808" s="76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 ht="15.75" customHeight="1">
      <c r="A809" s="57"/>
      <c r="B809" s="76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 ht="15.75" customHeight="1">
      <c r="A810" s="57"/>
      <c r="B810" s="76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 ht="15.75" customHeight="1">
      <c r="A811" s="57"/>
      <c r="B811" s="76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 ht="15.75" customHeight="1">
      <c r="A812" s="57"/>
      <c r="B812" s="76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 ht="15.75" customHeight="1">
      <c r="A813" s="57"/>
      <c r="B813" s="76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 ht="15.75" customHeight="1">
      <c r="A814" s="57"/>
      <c r="B814" s="76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 ht="15.75" customHeight="1">
      <c r="A815" s="57"/>
      <c r="B815" s="76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 ht="15.75" customHeight="1">
      <c r="A816" s="57"/>
      <c r="B816" s="76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 ht="15.75" customHeight="1">
      <c r="A817" s="57"/>
      <c r="B817" s="76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 ht="15.75" customHeight="1">
      <c r="A818" s="57"/>
      <c r="B818" s="76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 ht="15.75" customHeight="1">
      <c r="A819" s="57"/>
      <c r="B819" s="76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 ht="15.75" customHeight="1">
      <c r="A820" s="57"/>
      <c r="B820" s="76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 ht="15.75" customHeight="1">
      <c r="A821" s="57"/>
      <c r="B821" s="76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 ht="15.75" customHeight="1">
      <c r="A822" s="57"/>
      <c r="B822" s="76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 ht="15.75" customHeight="1">
      <c r="A823" s="57"/>
      <c r="B823" s="76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 ht="15.75" customHeight="1">
      <c r="A824" s="57"/>
      <c r="B824" s="76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 ht="15.75" customHeight="1">
      <c r="A825" s="57"/>
      <c r="B825" s="76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 ht="15.75" customHeight="1">
      <c r="A826" s="57"/>
      <c r="B826" s="76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 ht="15.75" customHeight="1">
      <c r="A827" s="57"/>
      <c r="B827" s="76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 ht="15.75" customHeight="1">
      <c r="A828" s="57"/>
      <c r="B828" s="76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 ht="15.75" customHeight="1">
      <c r="A829" s="57"/>
      <c r="B829" s="76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 ht="15.75" customHeight="1">
      <c r="A830" s="57"/>
      <c r="B830" s="76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 ht="15.75" customHeight="1">
      <c r="A831" s="57"/>
      <c r="B831" s="76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 ht="15.75" customHeight="1">
      <c r="A832" s="57"/>
      <c r="B832" s="76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 ht="15.75" customHeight="1">
      <c r="A833" s="57"/>
      <c r="B833" s="76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 ht="15.75" customHeight="1">
      <c r="A834" s="57"/>
      <c r="B834" s="76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 ht="15.75" customHeight="1">
      <c r="A835" s="57"/>
      <c r="B835" s="76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 ht="15.75" customHeight="1">
      <c r="A836" s="57"/>
      <c r="B836" s="76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 ht="15.75" customHeight="1">
      <c r="A837" s="57"/>
      <c r="B837" s="76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 ht="15.75" customHeight="1">
      <c r="A838" s="57"/>
      <c r="B838" s="76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 ht="15.75" customHeight="1">
      <c r="A839" s="57"/>
      <c r="B839" s="76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 ht="15.75" customHeight="1">
      <c r="A840" s="57"/>
      <c r="B840" s="76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 ht="15.75" customHeight="1">
      <c r="A841" s="57"/>
      <c r="B841" s="76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 ht="15.75" customHeight="1">
      <c r="A842" s="57"/>
      <c r="B842" s="76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 ht="15.75" customHeight="1">
      <c r="A843" s="57"/>
      <c r="B843" s="76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 ht="15.75" customHeight="1">
      <c r="A844" s="57"/>
      <c r="B844" s="76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 ht="15.75" customHeight="1">
      <c r="A845" s="57"/>
      <c r="B845" s="76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 ht="15.75" customHeight="1">
      <c r="A846" s="57"/>
      <c r="B846" s="76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 ht="15.75" customHeight="1">
      <c r="A847" s="57"/>
      <c r="B847" s="76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 ht="15.75" customHeight="1">
      <c r="A848" s="57"/>
      <c r="B848" s="76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 ht="15.75" customHeight="1">
      <c r="A849" s="57"/>
      <c r="B849" s="76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 ht="15.75" customHeight="1">
      <c r="A850" s="57"/>
      <c r="B850" s="76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 ht="15.75" customHeight="1">
      <c r="A851" s="57"/>
      <c r="B851" s="76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 ht="15.75" customHeight="1">
      <c r="A852" s="57"/>
      <c r="B852" s="76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 ht="15.75" customHeight="1">
      <c r="A853" s="57"/>
      <c r="B853" s="76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 ht="15.75" customHeight="1">
      <c r="A854" s="57"/>
      <c r="B854" s="76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 ht="15.75" customHeight="1">
      <c r="A855" s="57"/>
      <c r="B855" s="76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 ht="15.75" customHeight="1">
      <c r="A856" s="57"/>
      <c r="B856" s="76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 ht="15.75" customHeight="1">
      <c r="A857" s="57"/>
      <c r="B857" s="76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 ht="15.75" customHeight="1">
      <c r="A858" s="57"/>
      <c r="B858" s="76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 ht="15.75" customHeight="1">
      <c r="A859" s="57"/>
      <c r="B859" s="76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 ht="15.75" customHeight="1">
      <c r="A860" s="57"/>
      <c r="B860" s="76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 ht="15.75" customHeight="1">
      <c r="A861" s="57"/>
      <c r="B861" s="76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 ht="15.75" customHeight="1">
      <c r="A862" s="57"/>
      <c r="B862" s="76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 ht="15.75" customHeight="1">
      <c r="A863" s="57"/>
      <c r="B863" s="76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 ht="15.75" customHeight="1">
      <c r="A864" s="57"/>
      <c r="B864" s="76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 ht="15.75" customHeight="1">
      <c r="A865" s="57"/>
      <c r="B865" s="76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 ht="15.75" customHeight="1">
      <c r="A866" s="57"/>
      <c r="B866" s="76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 ht="15.75" customHeight="1">
      <c r="A867" s="57"/>
      <c r="B867" s="76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 ht="15.75" customHeight="1">
      <c r="A868" s="57"/>
      <c r="B868" s="76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 ht="15.75" customHeight="1">
      <c r="A869" s="57"/>
      <c r="B869" s="76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 ht="15.75" customHeight="1">
      <c r="A870" s="57"/>
      <c r="B870" s="76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 ht="15.75" customHeight="1">
      <c r="A871" s="57"/>
      <c r="B871" s="76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 ht="15.75" customHeight="1">
      <c r="A872" s="57"/>
      <c r="B872" s="76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 ht="15.75" customHeight="1">
      <c r="A873" s="57"/>
      <c r="B873" s="76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 ht="15.75" customHeight="1">
      <c r="A874" s="57"/>
      <c r="B874" s="76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 ht="15.75" customHeight="1">
      <c r="A875" s="57"/>
      <c r="B875" s="76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 ht="15.75" customHeight="1">
      <c r="A876" s="57"/>
      <c r="B876" s="76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 ht="15.75" customHeight="1">
      <c r="A877" s="57"/>
      <c r="B877" s="76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 ht="15.75" customHeight="1">
      <c r="A878" s="57"/>
      <c r="B878" s="76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 ht="15.75" customHeight="1">
      <c r="A879" s="57"/>
      <c r="B879" s="76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 ht="15.75" customHeight="1">
      <c r="A880" s="57"/>
      <c r="B880" s="76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 ht="15.75" customHeight="1">
      <c r="A881" s="57"/>
      <c r="B881" s="76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 ht="15.75" customHeight="1">
      <c r="A882" s="57"/>
      <c r="B882" s="76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 ht="15.75" customHeight="1">
      <c r="A883" s="57"/>
      <c r="B883" s="76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 ht="15.75" customHeight="1">
      <c r="A884" s="57"/>
      <c r="B884" s="76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 ht="15.75" customHeight="1">
      <c r="A885" s="57"/>
      <c r="B885" s="76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 ht="15.75" customHeight="1">
      <c r="A886" s="57"/>
      <c r="B886" s="76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 ht="15.75" customHeight="1">
      <c r="A887" s="57"/>
      <c r="B887" s="76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 ht="15.75" customHeight="1">
      <c r="A888" s="57"/>
      <c r="B888" s="76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 ht="15.75" customHeight="1">
      <c r="A889" s="57"/>
      <c r="B889" s="76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 ht="15.75" customHeight="1">
      <c r="A890" s="57"/>
      <c r="B890" s="76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 ht="15.75" customHeight="1">
      <c r="A891" s="57"/>
      <c r="B891" s="76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 ht="15.75" customHeight="1">
      <c r="A892" s="57"/>
      <c r="B892" s="76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 ht="15.75" customHeight="1">
      <c r="A893" s="57"/>
      <c r="B893" s="76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 ht="15.75" customHeight="1">
      <c r="A894" s="57"/>
      <c r="B894" s="76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 ht="15.75" customHeight="1">
      <c r="A895" s="57"/>
      <c r="B895" s="76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 ht="15.75" customHeight="1">
      <c r="A896" s="57"/>
      <c r="B896" s="76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 ht="15.75" customHeight="1">
      <c r="A897" s="57"/>
      <c r="B897" s="76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 ht="15.75" customHeight="1">
      <c r="A898" s="57"/>
      <c r="B898" s="76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 ht="15.75" customHeight="1">
      <c r="A899" s="57"/>
      <c r="B899" s="76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 ht="15.75" customHeight="1">
      <c r="A900" s="57"/>
      <c r="B900" s="76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 ht="15.75" customHeight="1">
      <c r="A901" s="57"/>
      <c r="B901" s="76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 ht="15.75" customHeight="1">
      <c r="A902" s="57"/>
      <c r="B902" s="76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 ht="15.75" customHeight="1">
      <c r="A903" s="57"/>
      <c r="B903" s="76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 ht="15.75" customHeight="1">
      <c r="A904" s="57"/>
      <c r="B904" s="76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 ht="15.75" customHeight="1">
      <c r="A905" s="57"/>
      <c r="B905" s="76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 ht="15.75" customHeight="1">
      <c r="A906" s="57"/>
      <c r="B906" s="76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 ht="15.75" customHeight="1">
      <c r="A907" s="57"/>
      <c r="B907" s="76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 ht="15.75" customHeight="1">
      <c r="A908" s="57"/>
      <c r="B908" s="76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 ht="15.75" customHeight="1">
      <c r="A909" s="57"/>
      <c r="B909" s="76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 ht="15.75" customHeight="1">
      <c r="A910" s="57"/>
      <c r="B910" s="76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 ht="15.75" customHeight="1">
      <c r="A911" s="57"/>
      <c r="B911" s="76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 ht="15.75" customHeight="1">
      <c r="A912" s="57"/>
      <c r="B912" s="76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 ht="15.75" customHeight="1">
      <c r="A913" s="57"/>
      <c r="B913" s="76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 ht="15.75" customHeight="1">
      <c r="A914" s="57"/>
      <c r="B914" s="76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 ht="15.75" customHeight="1">
      <c r="A915" s="57"/>
      <c r="B915" s="76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 ht="15.75" customHeight="1">
      <c r="A916" s="57"/>
      <c r="B916" s="76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 ht="15.75" customHeight="1">
      <c r="A917" s="57"/>
      <c r="B917" s="76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 ht="15.75" customHeight="1">
      <c r="A918" s="57"/>
      <c r="B918" s="76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 ht="15.75" customHeight="1">
      <c r="A919" s="57"/>
      <c r="B919" s="76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 ht="15.75" customHeight="1">
      <c r="A920" s="57"/>
      <c r="B920" s="76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 ht="15.75" customHeight="1">
      <c r="A921" s="57"/>
      <c r="B921" s="76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 ht="15.75" customHeight="1">
      <c r="A922" s="57"/>
      <c r="B922" s="76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 ht="15.75" customHeight="1">
      <c r="A923" s="57"/>
      <c r="B923" s="76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 ht="15.75" customHeight="1">
      <c r="A924" s="57"/>
      <c r="B924" s="76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 ht="15.75" customHeight="1">
      <c r="A925" s="57"/>
      <c r="B925" s="76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 ht="15.75" customHeight="1">
      <c r="A926" s="57"/>
      <c r="B926" s="76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 ht="15.75" customHeight="1">
      <c r="A927" s="57"/>
      <c r="B927" s="76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 ht="15.75" customHeight="1">
      <c r="A928" s="57"/>
      <c r="B928" s="76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 ht="15.75" customHeight="1">
      <c r="A929" s="57"/>
      <c r="B929" s="76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 ht="15.75" customHeight="1">
      <c r="A930" s="57"/>
      <c r="B930" s="76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 ht="15.75" customHeight="1">
      <c r="A931" s="57"/>
      <c r="B931" s="76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 ht="15.75" customHeight="1">
      <c r="A932" s="57"/>
      <c r="B932" s="76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 ht="15.75" customHeight="1">
      <c r="A933" s="57"/>
      <c r="B933" s="76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 ht="15.75" customHeight="1">
      <c r="A934" s="57"/>
      <c r="B934" s="76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 ht="15.75" customHeight="1">
      <c r="A935" s="57"/>
      <c r="B935" s="76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 ht="15.75" customHeight="1">
      <c r="A936" s="57"/>
      <c r="B936" s="76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 ht="15.75" customHeight="1">
      <c r="A937" s="57"/>
      <c r="B937" s="76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 ht="15.75" customHeight="1">
      <c r="A938" s="57"/>
      <c r="B938" s="76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 ht="15.75" customHeight="1">
      <c r="A939" s="57"/>
      <c r="B939" s="76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 ht="15.75" customHeight="1">
      <c r="A940" s="57"/>
      <c r="B940" s="76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 ht="15.75" customHeight="1">
      <c r="A941" s="57"/>
      <c r="B941" s="76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 ht="15.75" customHeight="1">
      <c r="A942" s="57"/>
      <c r="B942" s="76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 ht="15.75" customHeight="1">
      <c r="A943" s="57"/>
      <c r="B943" s="76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 ht="15.75" customHeight="1">
      <c r="A944" s="57"/>
      <c r="B944" s="76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 ht="15.75" customHeight="1">
      <c r="A945" s="57"/>
      <c r="B945" s="76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 ht="15.75" customHeight="1">
      <c r="A946" s="57"/>
      <c r="B946" s="76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 ht="15.75" customHeight="1">
      <c r="A947" s="57"/>
      <c r="B947" s="76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 ht="15.75" customHeight="1">
      <c r="A948" s="57"/>
      <c r="B948" s="76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 ht="15.75" customHeight="1">
      <c r="A949" s="57"/>
      <c r="B949" s="76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 ht="15.75" customHeight="1">
      <c r="A950" s="57"/>
      <c r="B950" s="76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 ht="15.75" customHeight="1">
      <c r="A951" s="57"/>
      <c r="B951" s="76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 ht="15.75" customHeight="1">
      <c r="A952" s="57"/>
      <c r="B952" s="76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 ht="15.75" customHeight="1">
      <c r="A953" s="57"/>
      <c r="B953" s="76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 ht="15.75" customHeight="1">
      <c r="A954" s="57"/>
      <c r="B954" s="76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 ht="15.75" customHeight="1">
      <c r="A955" s="57"/>
      <c r="B955" s="76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 ht="15.75" customHeight="1">
      <c r="A956" s="57"/>
      <c r="B956" s="76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 ht="15.75" customHeight="1">
      <c r="A957" s="57"/>
      <c r="B957" s="76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 ht="15.75" customHeight="1">
      <c r="A958" s="57"/>
      <c r="B958" s="76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 ht="15.75" customHeight="1">
      <c r="A959" s="57"/>
      <c r="B959" s="76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 ht="15.75" customHeight="1">
      <c r="A960" s="57"/>
      <c r="B960" s="76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</sheetData>
  <mergeCells count="8">
    <mergeCell ref="A1:D1"/>
    <mergeCell ref="B4:E4"/>
    <mergeCell ref="A6:D6"/>
    <mergeCell ref="B12:E12"/>
    <mergeCell ref="A14:D14"/>
    <mergeCell ref="B19:E19"/>
    <mergeCell ref="A21:D21"/>
    <mergeCell ref="B24:E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</cols>
  <sheetData>
    <row r="1">
      <c r="A1" s="82" t="s">
        <v>92</v>
      </c>
      <c r="B1" s="51"/>
      <c r="C1" s="51"/>
      <c r="D1" s="51"/>
      <c r="E1" s="52"/>
      <c r="F1" s="83"/>
      <c r="G1" s="83"/>
    </row>
    <row r="2">
      <c r="A2" s="84"/>
      <c r="E2" s="19"/>
      <c r="F2" s="85" t="s">
        <v>93</v>
      </c>
      <c r="G2" s="83"/>
    </row>
    <row r="3">
      <c r="A3" s="84"/>
      <c r="E3" s="19"/>
      <c r="F3" s="83"/>
      <c r="G3" s="83"/>
    </row>
    <row r="4">
      <c r="A4" s="86"/>
      <c r="B4" s="42"/>
      <c r="C4" s="42"/>
      <c r="D4" s="42"/>
      <c r="E4" s="43"/>
      <c r="F4" s="83"/>
    </row>
    <row r="5">
      <c r="A5" s="87" t="s">
        <v>94</v>
      </c>
      <c r="B5" s="51"/>
      <c r="C5" s="51"/>
      <c r="D5" s="51"/>
      <c r="E5" s="52"/>
      <c r="F5" s="83"/>
    </row>
    <row r="6">
      <c r="A6" s="88" t="s">
        <v>95</v>
      </c>
      <c r="B6" s="88" t="s">
        <v>96</v>
      </c>
      <c r="C6" s="88" t="s">
        <v>97</v>
      </c>
      <c r="D6" s="88" t="s">
        <v>98</v>
      </c>
      <c r="E6" s="88" t="s">
        <v>99</v>
      </c>
      <c r="F6" s="83"/>
    </row>
    <row r="7">
      <c r="A7" s="89" t="s">
        <v>100</v>
      </c>
      <c r="B7" s="90" t="s">
        <v>101</v>
      </c>
      <c r="C7" s="91" t="s">
        <v>102</v>
      </c>
      <c r="D7" s="92">
        <v>12.0</v>
      </c>
      <c r="E7" s="93">
        <v>10.0</v>
      </c>
      <c r="F7" s="83"/>
    </row>
    <row r="8">
      <c r="A8" s="89" t="s">
        <v>103</v>
      </c>
      <c r="B8" s="90" t="s">
        <v>101</v>
      </c>
      <c r="C8" s="91" t="s">
        <v>102</v>
      </c>
      <c r="D8" s="92">
        <v>12.0</v>
      </c>
      <c r="E8" s="93">
        <v>10.0</v>
      </c>
      <c r="F8" s="83"/>
    </row>
    <row r="9">
      <c r="A9" s="89" t="s">
        <v>104</v>
      </c>
      <c r="B9" s="90" t="s">
        <v>101</v>
      </c>
      <c r="C9" s="91" t="s">
        <v>102</v>
      </c>
      <c r="D9" s="92">
        <v>12.0</v>
      </c>
      <c r="E9" s="93">
        <v>10.0</v>
      </c>
      <c r="F9" s="83"/>
    </row>
    <row r="10">
      <c r="A10" s="89" t="s">
        <v>105</v>
      </c>
      <c r="B10" s="90" t="s">
        <v>101</v>
      </c>
      <c r="C10" s="91" t="s">
        <v>102</v>
      </c>
      <c r="D10" s="92">
        <v>5.0</v>
      </c>
      <c r="E10" s="93">
        <v>10.0</v>
      </c>
      <c r="F10" s="83"/>
    </row>
    <row r="11">
      <c r="A11" s="89" t="s">
        <v>106</v>
      </c>
      <c r="B11" s="90" t="s">
        <v>101</v>
      </c>
      <c r="C11" s="91" t="s">
        <v>102</v>
      </c>
      <c r="D11" s="92">
        <v>8.0</v>
      </c>
      <c r="E11" s="93">
        <v>10.0</v>
      </c>
      <c r="F11" s="83"/>
    </row>
    <row r="12">
      <c r="A12" s="89" t="s">
        <v>107</v>
      </c>
      <c r="B12" s="90" t="s">
        <v>108</v>
      </c>
      <c r="C12" s="91" t="s">
        <v>102</v>
      </c>
      <c r="D12" s="92">
        <v>7.0</v>
      </c>
      <c r="E12" s="93">
        <v>10.0</v>
      </c>
      <c r="F12" s="83"/>
    </row>
    <row r="13">
      <c r="A13" s="89" t="s">
        <v>109</v>
      </c>
      <c r="B13" s="90" t="s">
        <v>108</v>
      </c>
      <c r="C13" s="91" t="s">
        <v>102</v>
      </c>
      <c r="D13" s="92">
        <v>8.0</v>
      </c>
      <c r="E13" s="93">
        <v>10.0</v>
      </c>
      <c r="F13" s="83"/>
    </row>
    <row r="14">
      <c r="A14" s="89" t="s">
        <v>110</v>
      </c>
      <c r="B14" s="90" t="s">
        <v>111</v>
      </c>
      <c r="C14" s="91" t="s">
        <v>102</v>
      </c>
      <c r="D14" s="92">
        <v>12.0</v>
      </c>
      <c r="E14" s="93">
        <v>10.0</v>
      </c>
      <c r="F14" s="83"/>
    </row>
    <row r="15">
      <c r="A15" s="89" t="s">
        <v>112</v>
      </c>
      <c r="B15" s="90" t="s">
        <v>111</v>
      </c>
      <c r="C15" s="91" t="s">
        <v>102</v>
      </c>
      <c r="D15" s="92">
        <v>12.0</v>
      </c>
      <c r="E15" s="93">
        <v>10.0</v>
      </c>
      <c r="F15" s="83"/>
    </row>
    <row r="16">
      <c r="A16" s="89" t="s">
        <v>113</v>
      </c>
      <c r="B16" s="90" t="s">
        <v>111</v>
      </c>
      <c r="C16" s="91" t="s">
        <v>102</v>
      </c>
      <c r="D16" s="92">
        <v>8.0</v>
      </c>
      <c r="E16" s="93">
        <v>10.0</v>
      </c>
      <c r="F16" s="83"/>
    </row>
    <row r="17">
      <c r="A17" s="94" t="s">
        <v>114</v>
      </c>
      <c r="B17" s="91" t="s">
        <v>115</v>
      </c>
      <c r="C17" s="91" t="s">
        <v>116</v>
      </c>
      <c r="D17" s="95">
        <v>7.0</v>
      </c>
      <c r="E17" s="93">
        <v>10.0</v>
      </c>
      <c r="F17" s="83"/>
    </row>
    <row r="18">
      <c r="A18" s="94" t="s">
        <v>117</v>
      </c>
      <c r="B18" s="91" t="s">
        <v>115</v>
      </c>
      <c r="C18" s="91" t="s">
        <v>116</v>
      </c>
      <c r="D18" s="95">
        <v>8.0</v>
      </c>
      <c r="E18" s="93">
        <v>10.0</v>
      </c>
      <c r="F18" s="83"/>
    </row>
    <row r="19">
      <c r="A19" s="91" t="s">
        <v>118</v>
      </c>
      <c r="B19" s="91" t="s">
        <v>115</v>
      </c>
      <c r="C19" s="91" t="s">
        <v>116</v>
      </c>
      <c r="D19" s="95">
        <v>12.0</v>
      </c>
      <c r="E19" s="93">
        <v>10.0</v>
      </c>
      <c r="F19" s="83"/>
    </row>
    <row r="20">
      <c r="A20" s="91" t="s">
        <v>119</v>
      </c>
      <c r="B20" s="91" t="s">
        <v>115</v>
      </c>
      <c r="C20" s="91" t="s">
        <v>116</v>
      </c>
      <c r="D20" s="96">
        <v>10.0</v>
      </c>
      <c r="E20" s="93">
        <v>10.0</v>
      </c>
      <c r="F20" s="83"/>
    </row>
    <row r="21">
      <c r="A21" s="89" t="s">
        <v>120</v>
      </c>
      <c r="B21" s="91" t="s">
        <v>115</v>
      </c>
      <c r="C21" s="91" t="s">
        <v>116</v>
      </c>
      <c r="D21" s="97">
        <v>12.0</v>
      </c>
      <c r="E21" s="93">
        <v>10.0</v>
      </c>
      <c r="F21" s="83"/>
    </row>
    <row r="22">
      <c r="A22" s="94" t="s">
        <v>121</v>
      </c>
      <c r="B22" s="91" t="s">
        <v>115</v>
      </c>
      <c r="C22" s="91" t="s">
        <v>116</v>
      </c>
      <c r="D22" s="97">
        <v>13.0</v>
      </c>
      <c r="E22" s="93">
        <v>10.0</v>
      </c>
      <c r="F22" s="83"/>
    </row>
    <row r="23">
      <c r="A23" s="91" t="s">
        <v>122</v>
      </c>
      <c r="B23" s="91" t="s">
        <v>115</v>
      </c>
      <c r="C23" s="91" t="s">
        <v>116</v>
      </c>
      <c r="D23" s="97">
        <v>7.0</v>
      </c>
      <c r="E23" s="93">
        <v>10.0</v>
      </c>
      <c r="F23" s="83"/>
    </row>
    <row r="24">
      <c r="A24" s="91" t="s">
        <v>123</v>
      </c>
      <c r="B24" s="91" t="s">
        <v>115</v>
      </c>
      <c r="C24" s="91" t="s">
        <v>116</v>
      </c>
      <c r="D24" s="97">
        <v>6.0</v>
      </c>
      <c r="E24" s="93">
        <v>10.0</v>
      </c>
      <c r="F24" s="83"/>
    </row>
    <row r="25">
      <c r="A25" s="91" t="s">
        <v>124</v>
      </c>
      <c r="B25" s="91" t="s">
        <v>115</v>
      </c>
      <c r="C25" s="91" t="s">
        <v>116</v>
      </c>
      <c r="D25" s="96">
        <v>8.0</v>
      </c>
      <c r="E25" s="93">
        <v>10.0</v>
      </c>
      <c r="F25" s="83"/>
    </row>
    <row r="26">
      <c r="A26" s="91" t="s">
        <v>125</v>
      </c>
      <c r="B26" s="91" t="s">
        <v>115</v>
      </c>
      <c r="C26" s="91" t="s">
        <v>126</v>
      </c>
      <c r="D26" s="93">
        <v>2.0</v>
      </c>
      <c r="E26" s="93">
        <v>10.0</v>
      </c>
      <c r="F26" s="83"/>
    </row>
    <row r="27">
      <c r="A27" s="91" t="s">
        <v>127</v>
      </c>
      <c r="B27" s="91" t="s">
        <v>115</v>
      </c>
      <c r="C27" s="91" t="s">
        <v>116</v>
      </c>
      <c r="D27" s="97">
        <v>28.0</v>
      </c>
      <c r="E27" s="93">
        <v>10.0</v>
      </c>
      <c r="F27" s="83"/>
    </row>
    <row r="28">
      <c r="A28" s="83"/>
      <c r="B28" s="83"/>
      <c r="C28" s="83"/>
      <c r="D28" s="83"/>
      <c r="E28" s="83"/>
      <c r="F28" s="83"/>
    </row>
    <row r="29">
      <c r="A29" s="83" t="s">
        <v>128</v>
      </c>
      <c r="B29" s="83"/>
      <c r="C29" s="83"/>
      <c r="D29" s="83"/>
      <c r="E29" s="83"/>
      <c r="F29" s="83"/>
    </row>
    <row r="30">
      <c r="A30" s="83"/>
      <c r="B30" s="83"/>
      <c r="C30" s="83"/>
      <c r="D30" s="83"/>
      <c r="E30" s="83"/>
      <c r="F30" s="83"/>
    </row>
    <row r="31">
      <c r="A31" s="98"/>
      <c r="B31" s="83"/>
      <c r="C31" s="83"/>
      <c r="D31" s="83"/>
      <c r="E31" s="99"/>
      <c r="F31" s="83"/>
    </row>
    <row r="32">
      <c r="A32" s="100" t="s">
        <v>129</v>
      </c>
      <c r="B32" s="6"/>
      <c r="C32" s="6"/>
      <c r="D32" s="6"/>
      <c r="E32" s="6"/>
      <c r="F32" s="7"/>
    </row>
    <row r="33">
      <c r="A33" s="88" t="s">
        <v>95</v>
      </c>
      <c r="B33" s="88" t="s">
        <v>96</v>
      </c>
      <c r="C33" s="88" t="s">
        <v>97</v>
      </c>
      <c r="D33" s="88" t="s">
        <v>98</v>
      </c>
      <c r="E33" s="88" t="s">
        <v>99</v>
      </c>
      <c r="F33" s="88" t="s">
        <v>130</v>
      </c>
    </row>
    <row r="34">
      <c r="A34" s="91" t="s">
        <v>131</v>
      </c>
      <c r="B34" s="91" t="s">
        <v>115</v>
      </c>
      <c r="C34" s="91" t="s">
        <v>116</v>
      </c>
      <c r="D34" s="93">
        <v>1.0</v>
      </c>
      <c r="E34" s="93">
        <v>10.0</v>
      </c>
      <c r="F34" s="91"/>
    </row>
    <row r="35">
      <c r="A35" s="91"/>
      <c r="B35" s="91"/>
      <c r="C35" s="91"/>
      <c r="D35" s="91"/>
      <c r="E35" s="91"/>
      <c r="F35" s="91"/>
    </row>
    <row r="36">
      <c r="A36" s="94" t="s">
        <v>132</v>
      </c>
      <c r="B36" s="91" t="s">
        <v>115</v>
      </c>
      <c r="C36" s="91" t="s">
        <v>116</v>
      </c>
      <c r="D36" s="95">
        <v>12.0</v>
      </c>
      <c r="E36" s="93">
        <v>10.0</v>
      </c>
      <c r="F36" s="101" t="b">
        <v>0</v>
      </c>
      <c r="G36" s="102">
        <v>1.0</v>
      </c>
    </row>
    <row r="37">
      <c r="A37" s="94" t="s">
        <v>133</v>
      </c>
      <c r="B37" s="91" t="s">
        <v>115</v>
      </c>
      <c r="C37" s="91" t="s">
        <v>116</v>
      </c>
      <c r="D37" s="95">
        <v>12.0</v>
      </c>
      <c r="E37" s="93">
        <v>10.0</v>
      </c>
      <c r="F37" s="101" t="b">
        <v>0</v>
      </c>
      <c r="G37" s="102">
        <v>2.0</v>
      </c>
    </row>
    <row r="38">
      <c r="A38" s="91" t="s">
        <v>119</v>
      </c>
      <c r="B38" s="91" t="s">
        <v>115</v>
      </c>
      <c r="C38" s="91" t="s">
        <v>116</v>
      </c>
      <c r="D38" s="93">
        <v>10.0</v>
      </c>
      <c r="E38" s="93">
        <v>10.0</v>
      </c>
      <c r="F38" s="101" t="b">
        <v>0</v>
      </c>
      <c r="G38" s="102">
        <v>3.0</v>
      </c>
    </row>
    <row r="39">
      <c r="A39" s="91" t="s">
        <v>120</v>
      </c>
      <c r="B39" s="91" t="s">
        <v>115</v>
      </c>
      <c r="C39" s="91" t="s">
        <v>116</v>
      </c>
      <c r="D39" s="95">
        <v>12.0</v>
      </c>
      <c r="E39" s="93">
        <v>10.0</v>
      </c>
      <c r="F39" s="101" t="b">
        <v>0</v>
      </c>
      <c r="G39" s="102">
        <v>6.0</v>
      </c>
    </row>
    <row r="40">
      <c r="A40" s="103" t="s">
        <v>121</v>
      </c>
      <c r="B40" s="91" t="s">
        <v>115</v>
      </c>
      <c r="C40" s="91" t="s">
        <v>116</v>
      </c>
      <c r="D40" s="95">
        <v>13.0</v>
      </c>
      <c r="E40" s="93">
        <v>10.0</v>
      </c>
      <c r="F40" s="101" t="b">
        <v>0</v>
      </c>
      <c r="G40" s="102">
        <v>7.0</v>
      </c>
    </row>
    <row r="41">
      <c r="A41" s="94" t="s">
        <v>134</v>
      </c>
      <c r="B41" s="91" t="s">
        <v>115</v>
      </c>
      <c r="C41" s="91" t="s">
        <v>116</v>
      </c>
      <c r="D41" s="95">
        <v>7.0</v>
      </c>
      <c r="E41" s="93">
        <v>10.0</v>
      </c>
      <c r="F41" s="101" t="b">
        <v>0</v>
      </c>
      <c r="G41" s="102">
        <v>4.0</v>
      </c>
    </row>
    <row r="42">
      <c r="A42" s="94" t="s">
        <v>135</v>
      </c>
      <c r="B42" s="91" t="s">
        <v>115</v>
      </c>
      <c r="C42" s="91" t="s">
        <v>116</v>
      </c>
      <c r="D42" s="95">
        <v>8.0</v>
      </c>
      <c r="E42" s="93">
        <v>10.0</v>
      </c>
      <c r="F42" s="101" t="b">
        <v>0</v>
      </c>
      <c r="G42" s="102">
        <v>5.0</v>
      </c>
    </row>
    <row r="44">
      <c r="A44" s="94" t="s">
        <v>136</v>
      </c>
      <c r="B44" s="91" t="s">
        <v>115</v>
      </c>
      <c r="C44" s="91" t="s">
        <v>116</v>
      </c>
      <c r="D44" s="94">
        <v>7.0</v>
      </c>
      <c r="E44" s="93">
        <v>10.0</v>
      </c>
      <c r="F44" s="101" t="b">
        <v>0</v>
      </c>
    </row>
    <row r="45">
      <c r="A45" s="91" t="s">
        <v>122</v>
      </c>
      <c r="B45" s="91" t="s">
        <v>115</v>
      </c>
      <c r="C45" s="91" t="s">
        <v>116</v>
      </c>
      <c r="D45" s="95">
        <v>7.0</v>
      </c>
      <c r="E45" s="93">
        <v>10.0</v>
      </c>
      <c r="F45" s="101" t="b">
        <v>0</v>
      </c>
    </row>
    <row r="46">
      <c r="A46" s="91" t="s">
        <v>127</v>
      </c>
      <c r="B46" s="91" t="s">
        <v>115</v>
      </c>
      <c r="C46" s="91" t="s">
        <v>116</v>
      </c>
      <c r="D46" s="95">
        <v>28.0</v>
      </c>
      <c r="E46" s="93">
        <v>10.0</v>
      </c>
      <c r="F46" s="101" t="b">
        <v>0</v>
      </c>
    </row>
    <row r="47">
      <c r="A47" s="94" t="s">
        <v>137</v>
      </c>
      <c r="B47" s="91" t="s">
        <v>115</v>
      </c>
      <c r="C47" s="91" t="s">
        <v>116</v>
      </c>
      <c r="D47" s="94">
        <v>28.0</v>
      </c>
      <c r="E47" s="93">
        <v>10.0</v>
      </c>
      <c r="F47" s="101" t="b">
        <v>0</v>
      </c>
    </row>
    <row r="48">
      <c r="A48" s="94" t="s">
        <v>138</v>
      </c>
      <c r="B48" s="91" t="s">
        <v>115</v>
      </c>
      <c r="C48" s="91" t="s">
        <v>116</v>
      </c>
      <c r="D48" s="94">
        <v>36.0</v>
      </c>
      <c r="E48" s="93">
        <v>10.0</v>
      </c>
      <c r="F48" s="101" t="b">
        <v>0</v>
      </c>
    </row>
    <row r="49">
      <c r="A49" s="91"/>
      <c r="B49" s="91"/>
      <c r="C49" s="91"/>
      <c r="D49" s="91"/>
      <c r="E49" s="91"/>
      <c r="F49" s="91"/>
    </row>
    <row r="50">
      <c r="A50" s="91" t="s">
        <v>123</v>
      </c>
      <c r="B50" s="91" t="s">
        <v>115</v>
      </c>
      <c r="C50" s="91" t="s">
        <v>116</v>
      </c>
      <c r="D50" s="95">
        <v>6.0</v>
      </c>
      <c r="E50" s="93">
        <v>10.0</v>
      </c>
      <c r="F50" s="101" t="b">
        <v>0</v>
      </c>
    </row>
    <row r="51">
      <c r="A51" s="94" t="s">
        <v>139</v>
      </c>
      <c r="B51" s="91" t="s">
        <v>115</v>
      </c>
      <c r="C51" s="91" t="s">
        <v>116</v>
      </c>
      <c r="D51" s="93">
        <v>8.0</v>
      </c>
      <c r="E51" s="93">
        <v>10.0</v>
      </c>
      <c r="F51" s="101" t="b">
        <v>0</v>
      </c>
    </row>
    <row r="52">
      <c r="A52" s="91" t="s">
        <v>125</v>
      </c>
      <c r="B52" s="91" t="s">
        <v>115</v>
      </c>
      <c r="C52" s="91" t="s">
        <v>116</v>
      </c>
      <c r="D52" s="95">
        <v>2.0</v>
      </c>
      <c r="E52" s="93">
        <v>10.0</v>
      </c>
      <c r="F52" s="101" t="b">
        <v>0</v>
      </c>
    </row>
    <row r="53">
      <c r="A53" s="91"/>
      <c r="B53" s="91"/>
      <c r="C53" s="91"/>
      <c r="D53" s="91"/>
      <c r="E53" s="91"/>
      <c r="F53" s="91"/>
    </row>
    <row r="54">
      <c r="A54" s="91"/>
      <c r="B54" s="91"/>
      <c r="C54" s="91"/>
      <c r="D54" s="95"/>
      <c r="E54" s="93"/>
      <c r="F54" s="101"/>
    </row>
    <row r="55">
      <c r="A55" s="83"/>
      <c r="B55" s="83"/>
      <c r="C55" s="83"/>
      <c r="D55" s="83"/>
      <c r="E55" s="83"/>
      <c r="F55" s="83"/>
    </row>
    <row r="56">
      <c r="A56" s="100" t="s">
        <v>140</v>
      </c>
      <c r="B56" s="6"/>
      <c r="C56" s="6"/>
      <c r="D56" s="6"/>
      <c r="E56" s="6"/>
      <c r="F56" s="7"/>
    </row>
    <row r="57">
      <c r="A57" s="88" t="s">
        <v>95</v>
      </c>
      <c r="B57" s="88" t="s">
        <v>96</v>
      </c>
      <c r="C57" s="88" t="s">
        <v>97</v>
      </c>
      <c r="D57" s="88" t="s">
        <v>98</v>
      </c>
      <c r="E57" s="88" t="s">
        <v>99</v>
      </c>
      <c r="F57" s="88" t="s">
        <v>130</v>
      </c>
    </row>
    <row r="58">
      <c r="A58" s="91" t="str">
        <f>'4.1. Listini Food'!A7</f>
        <v>Hamburger</v>
      </c>
      <c r="B58" s="94" t="s">
        <v>101</v>
      </c>
      <c r="C58" s="91" t="s">
        <v>102</v>
      </c>
      <c r="D58" s="92">
        <f>'4.1. Listini Food'!B7</f>
        <v>12</v>
      </c>
      <c r="E58" s="93">
        <v>10.0</v>
      </c>
      <c r="F58" s="101" t="b">
        <v>0</v>
      </c>
    </row>
    <row r="59">
      <c r="A59" s="91" t="str">
        <f>'4.1. Listini Food'!A8</f>
        <v>Cheeseburger</v>
      </c>
      <c r="B59" s="94" t="s">
        <v>101</v>
      </c>
      <c r="C59" s="91" t="s">
        <v>102</v>
      </c>
      <c r="D59" s="92">
        <f>'4.1. Listini Food'!B8</f>
        <v>12</v>
      </c>
      <c r="E59" s="93">
        <v>10.0</v>
      </c>
      <c r="F59" s="101" t="b">
        <v>0</v>
      </c>
    </row>
    <row r="60">
      <c r="A60" s="91" t="str">
        <f>'4.1. Listini Food'!A9</f>
        <v>Veggie Burger</v>
      </c>
      <c r="B60" s="94" t="s">
        <v>101</v>
      </c>
      <c r="C60" s="91" t="s">
        <v>102</v>
      </c>
      <c r="D60" s="92">
        <f>'4.1. Listini Food'!B9</f>
        <v>12</v>
      </c>
      <c r="E60" s="93">
        <v>10.0</v>
      </c>
      <c r="F60" s="101" t="b">
        <v>0</v>
      </c>
    </row>
    <row r="61">
      <c r="A61" s="91" t="str">
        <f>'4.1. Listini Food'!A10</f>
        <v>Patatina S</v>
      </c>
      <c r="B61" s="94" t="s">
        <v>101</v>
      </c>
      <c r="C61" s="91" t="s">
        <v>102</v>
      </c>
      <c r="D61" s="92">
        <f>'4.1. Listini Food'!B10</f>
        <v>5</v>
      </c>
      <c r="E61" s="93">
        <v>10.0</v>
      </c>
      <c r="F61" s="101" t="b">
        <v>0</v>
      </c>
    </row>
    <row r="62">
      <c r="A62" s="91" t="str">
        <f>'4.1. Listini Food'!A11</f>
        <v>Patatina L</v>
      </c>
      <c r="B62" s="94" t="s">
        <v>101</v>
      </c>
      <c r="C62" s="91" t="s">
        <v>102</v>
      </c>
      <c r="D62" s="92">
        <f>'4.1. Listini Food'!B11</f>
        <v>8</v>
      </c>
      <c r="E62" s="93">
        <v>10.0</v>
      </c>
      <c r="F62" s="101" t="b">
        <v>0</v>
      </c>
    </row>
    <row r="63">
      <c r="A63" s="83"/>
      <c r="B63" s="83"/>
      <c r="C63" s="83"/>
      <c r="D63" s="83"/>
      <c r="E63" s="83"/>
      <c r="F63" s="83"/>
    </row>
    <row r="64">
      <c r="A64" s="83"/>
      <c r="B64" s="83"/>
      <c r="C64" s="83"/>
      <c r="D64" s="83"/>
      <c r="E64" s="83"/>
      <c r="F64" s="83"/>
    </row>
    <row r="65">
      <c r="A65" s="83"/>
      <c r="B65" s="83"/>
      <c r="C65" s="83"/>
      <c r="D65" s="83"/>
      <c r="E65" s="83"/>
      <c r="F65" s="83"/>
    </row>
    <row r="66">
      <c r="A66" s="104" t="s">
        <v>141</v>
      </c>
      <c r="B66" s="6"/>
      <c r="C66" s="6"/>
      <c r="D66" s="6"/>
      <c r="E66" s="6"/>
      <c r="F66" s="7"/>
    </row>
    <row r="67">
      <c r="A67" s="88" t="s">
        <v>95</v>
      </c>
      <c r="B67" s="88" t="s">
        <v>96</v>
      </c>
      <c r="C67" s="88" t="s">
        <v>97</v>
      </c>
      <c r="D67" s="88" t="s">
        <v>98</v>
      </c>
      <c r="E67" s="88" t="s">
        <v>99</v>
      </c>
      <c r="F67" s="88" t="s">
        <v>130</v>
      </c>
    </row>
    <row r="68">
      <c r="A68" s="91" t="str">
        <f>'4.1. Listini Food'!E7</f>
        <v>CLASSICA</v>
      </c>
      <c r="B68" s="94" t="s">
        <v>108</v>
      </c>
      <c r="C68" s="91" t="s">
        <v>102</v>
      </c>
      <c r="D68" s="92">
        <f>'4.1. Listini Food'!F7</f>
        <v>7</v>
      </c>
      <c r="E68" s="93">
        <v>10.0</v>
      </c>
      <c r="F68" s="101" t="b">
        <v>0</v>
      </c>
    </row>
    <row r="69">
      <c r="A69" s="91" t="str">
        <f>'4.1. Listini Food'!E8</f>
        <v>SAPORITA</v>
      </c>
      <c r="B69" s="94" t="s">
        <v>108</v>
      </c>
      <c r="C69" s="91" t="s">
        <v>102</v>
      </c>
      <c r="D69" s="92">
        <f>'4.1. Listini Food'!F8</f>
        <v>8</v>
      </c>
      <c r="E69" s="93">
        <v>10.0</v>
      </c>
      <c r="F69" s="101" t="b">
        <v>0</v>
      </c>
    </row>
    <row r="70">
      <c r="A70" s="91"/>
      <c r="B70" s="91"/>
      <c r="C70" s="91" t="s">
        <v>102</v>
      </c>
      <c r="D70" s="93"/>
      <c r="E70" s="93">
        <v>10.0</v>
      </c>
      <c r="F70" s="101" t="b">
        <v>0</v>
      </c>
    </row>
    <row r="71">
      <c r="A71" s="83"/>
      <c r="B71" s="83"/>
      <c r="C71" s="83"/>
      <c r="D71" s="83"/>
      <c r="E71" s="83"/>
      <c r="F71" s="83"/>
    </row>
    <row r="72">
      <c r="A72" s="83"/>
      <c r="B72" s="83"/>
      <c r="C72" s="83"/>
      <c r="D72" s="83"/>
      <c r="E72" s="83"/>
      <c r="F72" s="83"/>
    </row>
    <row r="73">
      <c r="A73" s="104" t="s">
        <v>142</v>
      </c>
      <c r="B73" s="6"/>
      <c r="C73" s="6"/>
      <c r="D73" s="6"/>
      <c r="E73" s="6"/>
      <c r="F73" s="7"/>
    </row>
    <row r="74">
      <c r="A74" s="88" t="s">
        <v>95</v>
      </c>
      <c r="B74" s="88" t="s">
        <v>96</v>
      </c>
      <c r="C74" s="88" t="s">
        <v>97</v>
      </c>
      <c r="D74" s="88" t="s">
        <v>98</v>
      </c>
      <c r="E74" s="88" t="s">
        <v>99</v>
      </c>
      <c r="F74" s="88" t="s">
        <v>130</v>
      </c>
    </row>
    <row r="75">
      <c r="A75" s="91" t="str">
        <f>'4.1. Listini Food'!A17</f>
        <v>Pulled</v>
      </c>
      <c r="B75" s="94" t="s">
        <v>111</v>
      </c>
      <c r="C75" s="91" t="s">
        <v>102</v>
      </c>
      <c r="D75" s="92">
        <f>'4.1. Listini Food'!B17</f>
        <v>12</v>
      </c>
      <c r="E75" s="93">
        <v>10.0</v>
      </c>
      <c r="F75" s="101" t="b">
        <v>0</v>
      </c>
    </row>
    <row r="76">
      <c r="A76" s="91" t="str">
        <f>'4.1. Listini Food'!A18</f>
        <v>Veggie</v>
      </c>
      <c r="B76" s="94" t="s">
        <v>111</v>
      </c>
      <c r="C76" s="91" t="s">
        <v>102</v>
      </c>
      <c r="D76" s="92">
        <f>'4.1. Listini Food'!B18</f>
        <v>12</v>
      </c>
      <c r="E76" s="93">
        <v>10.0</v>
      </c>
      <c r="F76" s="101" t="b">
        <v>0</v>
      </c>
    </row>
    <row r="77">
      <c r="A77" s="91" t="str">
        <f>'4.1. Listini Food'!A19</f>
        <v>Fritto</v>
      </c>
      <c r="B77" s="94" t="s">
        <v>111</v>
      </c>
      <c r="C77" s="91" t="s">
        <v>102</v>
      </c>
      <c r="D77" s="92">
        <f>'4.1. Listini Food'!B19</f>
        <v>8</v>
      </c>
      <c r="E77" s="93">
        <v>10.0</v>
      </c>
      <c r="F77" s="101" t="b">
        <v>0</v>
      </c>
    </row>
    <row r="78">
      <c r="A78" s="91"/>
      <c r="B78" s="91"/>
      <c r="C78" s="91" t="s">
        <v>102</v>
      </c>
      <c r="D78" s="93"/>
      <c r="E78" s="93">
        <v>10.0</v>
      </c>
      <c r="F78" s="101" t="b">
        <v>0</v>
      </c>
    </row>
    <row r="79">
      <c r="A79" s="83"/>
      <c r="B79" s="83"/>
      <c r="C79" s="83"/>
      <c r="D79" s="83"/>
      <c r="E79" s="83"/>
      <c r="F79" s="83"/>
    </row>
    <row r="80">
      <c r="A80" s="100" t="s">
        <v>143</v>
      </c>
      <c r="B80" s="6"/>
      <c r="C80" s="6"/>
      <c r="D80" s="6"/>
      <c r="E80" s="6"/>
      <c r="F80" s="7"/>
    </row>
    <row r="81">
      <c r="A81" s="88" t="s">
        <v>95</v>
      </c>
      <c r="B81" s="88" t="s">
        <v>96</v>
      </c>
      <c r="C81" s="88" t="s">
        <v>97</v>
      </c>
      <c r="D81" s="88" t="s">
        <v>98</v>
      </c>
      <c r="E81" s="88" t="s">
        <v>99</v>
      </c>
      <c r="F81" s="88" t="s">
        <v>130</v>
      </c>
    </row>
    <row r="82">
      <c r="A82" s="91"/>
      <c r="B82" s="91"/>
      <c r="C82" s="91" t="s">
        <v>144</v>
      </c>
      <c r="D82" s="93"/>
      <c r="E82" s="93">
        <v>22.0</v>
      </c>
      <c r="F82" s="101" t="b">
        <v>0</v>
      </c>
    </row>
    <row r="83">
      <c r="A83" s="91"/>
      <c r="B83" s="91"/>
      <c r="C83" s="91" t="s">
        <v>144</v>
      </c>
      <c r="D83" s="93"/>
      <c r="E83" s="93">
        <v>22.0</v>
      </c>
      <c r="F83" s="101" t="b">
        <v>0</v>
      </c>
    </row>
    <row r="84">
      <c r="A84" s="91"/>
      <c r="B84" s="91"/>
      <c r="C84" s="91" t="s">
        <v>144</v>
      </c>
      <c r="D84" s="93"/>
      <c r="E84" s="93">
        <v>22.0</v>
      </c>
      <c r="F84" s="101" t="b">
        <v>0</v>
      </c>
    </row>
    <row r="85">
      <c r="A85" s="91"/>
      <c r="B85" s="91"/>
      <c r="C85" s="91" t="s">
        <v>145</v>
      </c>
      <c r="D85" s="93"/>
      <c r="E85" s="93">
        <v>22.0</v>
      </c>
      <c r="F85" s="101" t="b">
        <v>0</v>
      </c>
    </row>
    <row r="86">
      <c r="A86" s="91"/>
      <c r="B86" s="91"/>
      <c r="C86" s="91" t="s">
        <v>116</v>
      </c>
      <c r="D86" s="93"/>
      <c r="E86" s="93">
        <v>10.0</v>
      </c>
      <c r="F86" s="101" t="b">
        <v>0</v>
      </c>
    </row>
    <row r="87">
      <c r="A87" s="91"/>
      <c r="B87" s="91"/>
      <c r="C87" s="91" t="s">
        <v>116</v>
      </c>
      <c r="D87" s="93"/>
      <c r="E87" s="93">
        <v>10.0</v>
      </c>
      <c r="F87" s="101" t="b">
        <v>0</v>
      </c>
    </row>
    <row r="88">
      <c r="A88" s="91"/>
      <c r="B88" s="91"/>
      <c r="C88" s="91" t="s">
        <v>116</v>
      </c>
      <c r="D88" s="93"/>
      <c r="E88" s="93">
        <v>10.0</v>
      </c>
      <c r="F88" s="91"/>
    </row>
  </sheetData>
  <mergeCells count="8">
    <mergeCell ref="A1:E3"/>
    <mergeCell ref="A4:E4"/>
    <mergeCell ref="A5:E5"/>
    <mergeCell ref="A32:F32"/>
    <mergeCell ref="A56:F56"/>
    <mergeCell ref="A66:F66"/>
    <mergeCell ref="A73:F73"/>
    <mergeCell ref="A80:F80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92</v>
      </c>
      <c r="B1" s="51"/>
      <c r="C1" s="51"/>
      <c r="D1" s="51"/>
      <c r="E1" s="52"/>
      <c r="F1" s="83"/>
      <c r="G1" s="83"/>
    </row>
    <row r="2">
      <c r="A2" s="84"/>
      <c r="E2" s="19"/>
      <c r="F2" s="85" t="s">
        <v>93</v>
      </c>
      <c r="G2" s="83"/>
    </row>
    <row r="3">
      <c r="A3" s="84"/>
      <c r="E3" s="19"/>
      <c r="F3" s="83"/>
      <c r="G3" s="83"/>
    </row>
    <row r="4">
      <c r="A4" s="105"/>
      <c r="B4" s="105"/>
      <c r="C4" s="105"/>
      <c r="D4" s="83"/>
      <c r="E4" s="83"/>
      <c r="F4" s="83"/>
      <c r="G4" s="83"/>
    </row>
    <row r="5">
      <c r="A5" s="106" t="s">
        <v>146</v>
      </c>
      <c r="B5" s="6"/>
      <c r="C5" s="7"/>
      <c r="D5" s="83"/>
      <c r="E5" s="106" t="s">
        <v>147</v>
      </c>
      <c r="F5" s="6"/>
      <c r="G5" s="7"/>
    </row>
    <row r="6">
      <c r="A6" s="107" t="s">
        <v>148</v>
      </c>
      <c r="B6" s="107" t="s">
        <v>98</v>
      </c>
      <c r="C6" s="107" t="s">
        <v>99</v>
      </c>
      <c r="D6" s="83"/>
      <c r="E6" s="107" t="s">
        <v>148</v>
      </c>
      <c r="F6" s="107" t="s">
        <v>98</v>
      </c>
      <c r="G6" s="107" t="s">
        <v>99</v>
      </c>
    </row>
    <row r="7">
      <c r="A7" s="108" t="s">
        <v>100</v>
      </c>
      <c r="B7" s="109">
        <v>12.0</v>
      </c>
      <c r="C7" s="110">
        <v>0.1</v>
      </c>
      <c r="D7" s="83"/>
      <c r="E7" s="108" t="s">
        <v>107</v>
      </c>
      <c r="F7" s="109">
        <v>7.0</v>
      </c>
      <c r="G7" s="110">
        <v>0.1</v>
      </c>
    </row>
    <row r="8">
      <c r="A8" s="108" t="s">
        <v>103</v>
      </c>
      <c r="B8" s="109">
        <v>12.0</v>
      </c>
      <c r="C8" s="110">
        <v>0.1</v>
      </c>
      <c r="D8" s="83"/>
      <c r="E8" s="108" t="s">
        <v>109</v>
      </c>
      <c r="F8" s="109">
        <v>8.0</v>
      </c>
      <c r="G8" s="110">
        <v>0.1</v>
      </c>
    </row>
    <row r="9">
      <c r="A9" s="111" t="s">
        <v>104</v>
      </c>
      <c r="B9" s="112">
        <v>12.0</v>
      </c>
      <c r="C9" s="110">
        <v>0.1</v>
      </c>
      <c r="D9" s="83"/>
      <c r="E9" s="113"/>
      <c r="F9" s="114"/>
      <c r="G9" s="110">
        <v>0.1</v>
      </c>
    </row>
    <row r="10">
      <c r="A10" s="111" t="s">
        <v>105</v>
      </c>
      <c r="B10" s="112">
        <v>5.0</v>
      </c>
      <c r="C10" s="110">
        <v>0.1</v>
      </c>
      <c r="D10" s="83"/>
      <c r="E10" s="113"/>
      <c r="F10" s="114"/>
      <c r="G10" s="110">
        <v>0.1</v>
      </c>
    </row>
    <row r="11">
      <c r="A11" s="111" t="s">
        <v>106</v>
      </c>
      <c r="B11" s="112">
        <v>8.0</v>
      </c>
      <c r="C11" s="110">
        <v>0.1</v>
      </c>
      <c r="D11" s="83"/>
      <c r="E11" s="113"/>
      <c r="F11" s="114"/>
      <c r="G11" s="110">
        <v>0.1</v>
      </c>
    </row>
    <row r="12">
      <c r="A12" s="113"/>
      <c r="B12" s="114"/>
      <c r="C12" s="110">
        <v>0.1</v>
      </c>
      <c r="D12" s="83"/>
      <c r="E12" s="113"/>
      <c r="F12" s="114"/>
      <c r="G12" s="110">
        <v>0.1</v>
      </c>
    </row>
    <row r="13">
      <c r="A13" s="113"/>
      <c r="B13" s="114"/>
      <c r="C13" s="110">
        <v>0.1</v>
      </c>
      <c r="D13" s="83"/>
      <c r="E13" s="113"/>
      <c r="F13" s="114"/>
      <c r="G13" s="110">
        <v>0.1</v>
      </c>
    </row>
    <row r="14">
      <c r="A14" s="113"/>
      <c r="B14" s="114"/>
      <c r="C14" s="115">
        <v>0.1</v>
      </c>
      <c r="D14" s="83"/>
      <c r="E14" s="113"/>
      <c r="F14" s="114"/>
      <c r="G14" s="115">
        <v>0.1</v>
      </c>
    </row>
    <row r="15">
      <c r="A15" s="83"/>
      <c r="B15" s="83"/>
      <c r="C15" s="83"/>
      <c r="D15" s="83"/>
      <c r="E15" s="83"/>
      <c r="F15" s="83"/>
      <c r="G15" s="83"/>
    </row>
    <row r="16">
      <c r="A16" s="106" t="s">
        <v>149</v>
      </c>
      <c r="B16" s="6"/>
      <c r="C16" s="7"/>
      <c r="D16" s="83"/>
    </row>
    <row r="17">
      <c r="A17" s="111" t="s">
        <v>110</v>
      </c>
      <c r="B17" s="116">
        <v>12.0</v>
      </c>
      <c r="C17" s="110">
        <v>0.1</v>
      </c>
      <c r="D17" s="83"/>
    </row>
    <row r="18">
      <c r="A18" s="111" t="s">
        <v>112</v>
      </c>
      <c r="B18" s="116">
        <v>12.0</v>
      </c>
      <c r="C18" s="110">
        <v>0.1</v>
      </c>
      <c r="D18" s="83"/>
    </row>
    <row r="19">
      <c r="A19" s="111" t="s">
        <v>113</v>
      </c>
      <c r="B19" s="116">
        <v>8.0</v>
      </c>
      <c r="C19" s="110">
        <v>0.1</v>
      </c>
      <c r="D19" s="83"/>
    </row>
    <row r="20">
      <c r="A20" s="113"/>
      <c r="B20" s="117"/>
      <c r="C20" s="110">
        <v>0.1</v>
      </c>
      <c r="D20" s="83"/>
    </row>
    <row r="21">
      <c r="A21" s="113"/>
      <c r="B21" s="117"/>
      <c r="C21" s="110">
        <v>0.1</v>
      </c>
      <c r="D21" s="83"/>
    </row>
    <row r="22">
      <c r="A22" s="113"/>
      <c r="B22" s="117"/>
      <c r="C22" s="110">
        <v>0.1</v>
      </c>
      <c r="D22" s="83"/>
    </row>
  </sheetData>
  <mergeCells count="4">
    <mergeCell ref="A1:E3"/>
    <mergeCell ref="A5:C5"/>
    <mergeCell ref="E5:G5"/>
    <mergeCell ref="A16:C16"/>
  </mergeCells>
  <dataValidations>
    <dataValidation type="list" allowBlank="1" showErrorMessage="1" sqref="C7:C14 G7:G14 C17:C22">
      <formula1>"0%,4%,5%,10%,22%"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63"/>
    <col customWidth="1" min="2" max="3" width="38.88"/>
  </cols>
  <sheetData>
    <row r="1" ht="8.25" customHeight="1">
      <c r="A1" s="118"/>
      <c r="B1" s="52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5.75" customHeight="1">
      <c r="A2" s="119"/>
      <c r="B2" s="19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8.25" customHeight="1">
      <c r="A3" s="120"/>
      <c r="B3" s="43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5.75" customHeight="1">
      <c r="A4" s="121" t="s">
        <v>150</v>
      </c>
      <c r="B4" s="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5.75" customHeight="1">
      <c r="A5" s="122"/>
      <c r="B5" s="122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5.75" customHeight="1">
      <c r="A6" s="123" t="s">
        <v>151</v>
      </c>
      <c r="B6" s="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5.75" customHeight="1">
      <c r="A7" s="124" t="s">
        <v>152</v>
      </c>
      <c r="B7" s="124" t="s">
        <v>153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5.75" customHeight="1">
      <c r="A8" s="125">
        <v>45658.0</v>
      </c>
      <c r="B8" s="126"/>
    </row>
    <row r="9" ht="15.75" customHeight="1">
      <c r="A9" s="125">
        <v>45658.0</v>
      </c>
      <c r="B9" s="126"/>
    </row>
    <row r="10" ht="15.75" customHeight="1">
      <c r="A10" s="125">
        <v>45658.0</v>
      </c>
      <c r="B10" s="126"/>
    </row>
    <row r="11" ht="15.75" customHeight="1">
      <c r="A11" s="125">
        <v>45658.0</v>
      </c>
      <c r="B11" s="126"/>
    </row>
    <row r="12" ht="15.75" customHeight="1">
      <c r="A12" s="125">
        <v>45658.0</v>
      </c>
      <c r="B12" s="126"/>
      <c r="C12" s="57"/>
    </row>
    <row r="13" ht="15.75" customHeight="1"/>
    <row r="14" ht="15.75" customHeight="1">
      <c r="A14" s="118" t="s">
        <v>154</v>
      </c>
      <c r="B14" s="52"/>
    </row>
    <row r="15" ht="15.75" customHeight="1">
      <c r="A15" s="124" t="s">
        <v>152</v>
      </c>
      <c r="B15" s="124" t="s">
        <v>153</v>
      </c>
    </row>
    <row r="16" ht="15.75" customHeight="1">
      <c r="A16" s="125">
        <v>45658.0</v>
      </c>
      <c r="B16" s="126"/>
    </row>
    <row r="17" ht="15.75" customHeight="1">
      <c r="A17" s="125">
        <v>45658.0</v>
      </c>
      <c r="B17" s="126"/>
    </row>
    <row r="18" ht="15.75" customHeight="1">
      <c r="A18" s="125">
        <v>45658.0</v>
      </c>
      <c r="B18" s="126"/>
    </row>
    <row r="19" ht="15.75" customHeight="1">
      <c r="A19" s="125">
        <v>45658.0</v>
      </c>
      <c r="B19" s="126"/>
    </row>
    <row r="20" ht="15.75" customHeight="1">
      <c r="A20" s="125">
        <v>45658.0</v>
      </c>
      <c r="B20" s="126"/>
    </row>
    <row r="21" ht="15.75" customHeight="1"/>
    <row r="22" ht="15.75" customHeight="1">
      <c r="A22" s="118" t="s">
        <v>155</v>
      </c>
      <c r="B22" s="52"/>
    </row>
    <row r="23" ht="15.75" customHeight="1">
      <c r="A23" s="124" t="s">
        <v>152</v>
      </c>
      <c r="B23" s="124" t="s">
        <v>153</v>
      </c>
    </row>
    <row r="24" ht="15.75" customHeight="1">
      <c r="A24" s="125">
        <v>45658.0</v>
      </c>
      <c r="B24" s="126"/>
    </row>
    <row r="25" ht="15.75" customHeight="1">
      <c r="A25" s="125">
        <v>45658.0</v>
      </c>
      <c r="B25" s="126"/>
    </row>
    <row r="26" ht="15.75" customHeight="1">
      <c r="A26" s="125">
        <v>45658.0</v>
      </c>
      <c r="B26" s="126"/>
    </row>
    <row r="27" ht="15.75" customHeight="1">
      <c r="A27" s="125">
        <v>45658.0</v>
      </c>
      <c r="B27" s="126"/>
    </row>
    <row r="28" ht="15.75" customHeight="1">
      <c r="A28" s="125">
        <v>45658.0</v>
      </c>
      <c r="B28" s="12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3:B3"/>
    <mergeCell ref="A4:B4"/>
    <mergeCell ref="A6:B6"/>
    <mergeCell ref="A14:B14"/>
    <mergeCell ref="A22:B22"/>
  </mergeCells>
  <drawing r:id="rId1"/>
</worksheet>
</file>